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⚙️ Supuestos y Tipo Cambio" sheetId="1" r:id="rId1"/>
    <sheet name="🎓 Flujo del Estudiante" sheetId="2" r:id="rId2"/>
    <sheet name="📊 Economía Unitaria USD+CLP" sheetId="3" r:id="rId3"/>
    <sheet name="🏗️ Infraestructura por Etapa" sheetId="4" r:id="rId4"/>
    <sheet name="📅 Plan Mensual Inversión" sheetId="5" r:id="rId5"/>
    <sheet name="🏫 Modelo B2B Colegios" sheetId="6" r:id="rId6"/>
    <sheet name="💼 Resumen Inversores" sheetId="7" r:id="rId7"/>
  </sheets>
  <calcPr calcId="124519" fullCalcOnLoad="1"/>
</workbook>
</file>

<file path=xl/sharedStrings.xml><?xml version="1.0" encoding="utf-8"?>
<sst xmlns="http://schemas.openxmlformats.org/spreadsheetml/2006/main" count="545" uniqueCount="436">
  <si>
    <t>Vocari / OrientaIA — Supuestos del Modelo Financiero</t>
  </si>
  <si>
    <t>Todos los costos se muestran en USD (dólares) y CLP (pesos chilenos) — Marzo 2026</t>
  </si>
  <si>
    <t>TIPO DE CAMBIO Y CONFIGURACIÓN GLOBAL</t>
  </si>
  <si>
    <t>Parámetro</t>
  </si>
  <si>
    <t>Valor USD</t>
  </si>
  <si>
    <t>Equivalente CLP</t>
  </si>
  <si>
    <t>Fuente / Nota</t>
  </si>
  <si>
    <t>Tipo de cambio USD → CLP</t>
  </si>
  <si>
    <t>1.0</t>
  </si>
  <si>
    <t>950</t>
  </si>
  <si>
    <t>Referencial Marzo 2026 — Actualizar según mercado</t>
  </si>
  <si>
    <t>Precio por estudiante/mes (B2B)</t>
  </si>
  <si>
    <t>20.0</t>
  </si>
  <si>
    <t>19000.0</t>
  </si>
  <si>
    <t>Precio sugerido promedio; rango $15–$25</t>
  </si>
  <si>
    <t>Sesiones de orientación por mes</t>
  </si>
  <si>
    <t>4 sesiones</t>
  </si>
  <si>
    <t>30 min c/u</t>
  </si>
  <si>
    <t>4 sesiones de 30 minutos = 2 horas/mes de orientación</t>
  </si>
  <si>
    <t>Duración por sesión</t>
  </si>
  <si>
    <t>30 min</t>
  </si>
  <si>
    <t>1.800 segundos</t>
  </si>
  <si>
    <t>Sesión estándar de orientación vocacional</t>
  </si>
  <si>
    <t>Costo IA por estudiante/mes</t>
  </si>
  <si>
    <t>US$0.8</t>
  </si>
  <si>
    <t>$760 CLP</t>
  </si>
  <si>
    <t>Claude Sonnet (resúmenes/informes) + Haiku (juegos/tests)</t>
  </si>
  <si>
    <t>Costo BD por estudiante/mes</t>
  </si>
  <si>
    <t>US$0.3</t>
  </si>
  <si>
    <t>$285 CLP</t>
  </si>
  <si>
    <t>Supabase: registros de usuario, sesiones, tests, progreso</t>
  </si>
  <si>
    <t>Almacenamiento video sesión</t>
  </si>
  <si>
    <t>750MB/sesión</t>
  </si>
  <si>
    <t>7 días en Drive</t>
  </si>
  <si>
    <t>Borrado automático a los 7 días — transcripción permanente en Supabase</t>
  </si>
  <si>
    <t>Transcripción Meet</t>
  </si>
  <si>
    <t>GRATIS</t>
  </si>
  <si>
    <t>Incluida en Workspace Standard</t>
  </si>
  <si>
    <t>Business Standard ($12/usuario) genera transcripción automática</t>
  </si>
  <si>
    <t>SUPUESTOS DE COSTOS IA — DESGLOSE POR INTERACCIÓN</t>
  </si>
  <si>
    <t>Tipo de Interacción IA</t>
  </si>
  <si>
    <t>Frecuencia/mes</t>
  </si>
  <si>
    <t>Costo unitario USD</t>
  </si>
  <si>
    <t>Modelo Claude usado / Fuente</t>
  </si>
  <si>
    <t>Resumen post-sesión (transcripción → insights)</t>
  </si>
  <si>
    <t>4 × sesión</t>
  </si>
  <si>
    <t>US$0.045</t>
  </si>
  <si>
    <t>Claude 3.5 Sonnet — anthropic.com/api</t>
  </si>
  <si>
    <t>Generación de cuestionario/juego personalizado</t>
  </si>
  <si>
    <t>US$0.039</t>
  </si>
  <si>
    <t>Claude 3.5 Sonnet — 3k tokens in + 2k out</t>
  </si>
  <si>
    <t>Respuestas interactivas juegos/tests (Haiku)</t>
  </si>
  <si>
    <t>~20 exchanges</t>
  </si>
  <si>
    <t>US$0.002 c/u</t>
  </si>
  <si>
    <t>Claude 3.5 Haiku — 10x más barato</t>
  </si>
  <si>
    <t>Informe mensual de progreso (estudiante + orientador)</t>
  </si>
  <si>
    <t>1/mes</t>
  </si>
  <si>
    <t>US$0.090</t>
  </si>
  <si>
    <t>Claude 3.5 Sonnet — 15k tokens in + 3k out</t>
  </si>
  <si>
    <t>Proyección de carrera actualizada</t>
  </si>
  <si>
    <t>US$0.060</t>
  </si>
  <si>
    <t>Claude 3.5 Sonnet + datos MINEDUC</t>
  </si>
  <si>
    <t>Simulación 'vida futura' (materias → trabajo → salario)</t>
  </si>
  <si>
    <t>US$0.100</t>
  </si>
  <si>
    <t>Claude 3.5 Sonnet — prompt enriquecido</t>
  </si>
  <si>
    <t>Check-in de felicidad / bienestar (Haiku)</t>
  </si>
  <si>
    <t>2/mes</t>
  </si>
  <si>
    <t>US$0.001 c/u</t>
  </si>
  <si>
    <t>Claude 3.5 Haiku — muy liviano</t>
  </si>
  <si>
    <t>Informe para apoderados y administrador</t>
  </si>
  <si>
    <t>US$0.050</t>
  </si>
  <si>
    <t>Claude 3.5 Sonnet — resumen ejecutivo</t>
  </si>
  <si>
    <t>TOTAL ESTIMADO POR ESTUDIANTE/MES</t>
  </si>
  <si>
    <t>—</t>
  </si>
  <si>
    <t>≈ US$0.80</t>
  </si>
  <si>
    <t>Conservador — incluye overhead y variabilidad</t>
  </si>
  <si>
    <t>* La transcripción automática de Google Meet (Business Standard) elimina el costo de transcripción del modelo anterior ($2/sesión). El nuevo costo variable de IA cae de $8.00 a $0.80/estudiante/mes.</t>
  </si>
  <si>
    <t>FUENTES OFICIALES DE PRECIOS</t>
  </si>
  <si>
    <t>Componente</t>
  </si>
  <si>
    <t>Plan Recomendado</t>
  </si>
  <si>
    <t>Costo USD/mes</t>
  </si>
  <si>
    <t>URL Oficial de Precios</t>
  </si>
  <si>
    <t>Google Workspace</t>
  </si>
  <si>
    <t>Business Standard × 3 usuarios</t>
  </si>
  <si>
    <t>US$36</t>
  </si>
  <si>
    <t>workspace.google.com/pricing</t>
  </si>
  <si>
    <t>Supabase (BD + Auth + Storage)</t>
  </si>
  <si>
    <t>Free → Pro ($25)</t>
  </si>
  <si>
    <t>US$0–25</t>
  </si>
  <si>
    <t>supabase.com/pricing</t>
  </si>
  <si>
    <t>Netlify (Hosting + Functions)</t>
  </si>
  <si>
    <t>Free → Pro ($19)</t>
  </si>
  <si>
    <t>US$0–19</t>
  </si>
  <si>
    <t>www.netlify.com/pricing</t>
  </si>
  <si>
    <t>Anthropic Claude API</t>
  </si>
  <si>
    <t>Pay-per-use (Sonnet + Haiku)</t>
  </si>
  <si>
    <t>Variable</t>
  </si>
  <si>
    <t>www.anthropic.com/api</t>
  </si>
  <si>
    <t>OpenRouter (Gemini Flash)</t>
  </si>
  <si>
    <t>Pay-per-use</t>
  </si>
  <si>
    <t>~US$0–5</t>
  </si>
  <si>
    <t>openrouter.ai/google/gemini-2.0-flash-001</t>
  </si>
  <si>
    <t>Sentry (monitoreo errores)</t>
  </si>
  <si>
    <t>Startup tier</t>
  </si>
  <si>
    <t>US$26</t>
  </si>
  <si>
    <t>sentry.io/pricing</t>
  </si>
  <si>
    <t>Cloudflare (CDN + DNS)</t>
  </si>
  <si>
    <t>Free → Pro</t>
  </si>
  <si>
    <t>US$0–20</t>
  </si>
  <si>
    <t>www.cloudflare.com/plans</t>
  </si>
  <si>
    <t>Google Calendar API</t>
  </si>
  <si>
    <t>Incluido en Workspace</t>
  </si>
  <si>
    <t>US$0</t>
  </si>
  <si>
    <t>developers.google.com/calendar/api</t>
  </si>
  <si>
    <t>Google Drive API</t>
  </si>
  <si>
    <t>developers.google.com/drive</t>
  </si>
  <si>
    <t>Google Meet Transcript API</t>
  </si>
  <si>
    <t>Incluido en Business Standard</t>
  </si>
  <si>
    <t>developers.google.com/meet/api</t>
  </si>
  <si>
    <t>Vocari — Flujo Completo del Estudiante y Generación de Datos IA</t>
  </si>
  <si>
    <t>Cada interacción genera datos → IA analiza → Orientador + Apoderado + Admin reciben reportes en tiempo real</t>
  </si>
  <si>
    <t>Acción del Estudiante</t>
  </si>
  <si>
    <t>Procesamiento IA</t>
  </si>
  <si>
    <t>Almacenamiento Datos</t>
  </si>
  <si>
    <t>Resultado / Entregable</t>
  </si>
  <si>
    <t>1. INGRESO AL SISTEMA
Estudiante se autentica
(Google OAuth)</t>
  </si>
  <si>
    <t>→</t>
  </si>
  <si>
    <t>2. VE ORIENTADORES
DISPONIBLES
Calendario en tiempo real</t>
  </si>
  <si>
    <t>3. AGENDA SESIÓN
Horario + orientador
(30 min — Google Meet)</t>
  </si>
  <si>
    <t>4. RECORDATORIO
Automático vía email
(Google Workspace)</t>
  </si>
  <si>
    <t>5. SESIÓN EN VIVO
Video llamada Meet
Orientador + Estudiante</t>
  </si>
  <si>
    <t>6. GRABACIÓN
AUTOMÁTICA
Drive (7 días)</t>
  </si>
  <si>
    <t>7. TRANSCRIPCIÓN
AUTOMÁTICA
Google Meet → Drive</t>
  </si>
  <si>
    <t>8. RESUMEN IA
Claude 3.5 Sonnet
Insights + emociones</t>
  </si>
  <si>
    <t>9. CUESTIONARIO/JUEGO
Generado por IA
Personalizado por perfil</t>
  </si>
  <si>
    <t>10. COMPARTIDO
Orientador + Estudiante
revisan juntos</t>
  </si>
  <si>
    <t>11. JUEGOS VOCACIONALES
IA adapta dificultad
Haiku API (barato)</t>
  </si>
  <si>
    <t>12. TESTS HABILIDADES
RIASEC + nuevos tests
dínámicos con IA</t>
  </si>
  <si>
    <t>13. PONDERACIÓN
Todos los datos
→ Perfil actualizado</t>
  </si>
  <si>
    <t>14. ¿NUEVA SESIÓN?
Estudiante decide:
+ Meet o + Tests</t>
  </si>
  <si>
    <t>15. CHECK-IN FELICIDAD
Bienestar medido
cada 2 semanas</t>
  </si>
  <si>
    <t>16. INFORME MENSUAL
Progreso completo
Claude genera PDF</t>
  </si>
  <si>
    <t>17. DASHBOARD
APODERADO
Gráficos en tiempo real</t>
  </si>
  <si>
    <t>18. DASHBOARD
ADMIN COLEGIO
Vista institucional</t>
  </si>
  <si>
    <t>19. DASHBOARD
ORIENTADOR
Todos sus estudiantes</t>
  </si>
  <si>
    <t>20. ALERTA TEMPRANA
IA detecta bajo ánimo
o estancamiento</t>
  </si>
  <si>
    <t>21. CARRERAS IDENTIFICADAS
Top 5 mejores calces
RIASEC + MINEDUC</t>
  </si>
  <si>
    <t>22. SIMULACIÓN 'VIDA'
Qué estudiar → dónde
→ rol laboral → sueldo</t>
  </si>
  <si>
    <t>23. RUTAS ALTERNATIVAS
Plan A / B / C
con pros y contras</t>
  </si>
  <si>
    <t>24. ÍNDICE FELICIDAD
Proyección satisfacción
laboral futura</t>
  </si>
  <si>
    <t>25. INFORME FINAL
PDF descargable
Apoderado + Colegio</t>
  </si>
  <si>
    <t>▼  FASE 2: PROCESAMIENTO POST-SESIÓN (Google Drive + Claude IA)</t>
  </si>
  <si>
    <t>▼  FASE 3: ACTIVIDAD AUTÓNOMA ENTRE SESIONES (Juegos + Tests IA)</t>
  </si>
  <si>
    <t>▼  FASE 4: REPORTES AUTOMÁTICOS A TODOS LOS ACTORES</t>
  </si>
  <si>
    <t>▼  FASE 5: RESULTADO FINAL — ORIENTACIÓN VOCACIONAL COMPLETA</t>
  </si>
  <si>
    <t>DISTRIBUCIÓN DE COSTOS POR ACTOR</t>
  </si>
  <si>
    <t>COSTO POR ACTOR</t>
  </si>
  <si>
    <t>Estudiante: acceso incluido en plan del colegio</t>
  </si>
  <si>
    <t>Apoderado: acceso gratuito (read-only)</t>
  </si>
  <si>
    <t>Orientador: cuenta Workspace incluida</t>
  </si>
  <si>
    <t>Admin colegio: cuenta Workspace incluida</t>
  </si>
  <si>
    <t>Economía Unitaria — Costo por Estudiante en USD y CLP</t>
  </si>
  <si>
    <t>Costo IA</t>
  </si>
  <si>
    <t>Costo BD</t>
  </si>
  <si>
    <t>Infra Fija</t>
  </si>
  <si>
    <t>Total Mensual</t>
  </si>
  <si>
    <t>USD</t>
  </si>
  <si>
    <t>CLP ($)</t>
  </si>
  <si>
    <t>ANÁLISIS COMPLETO: INGRESOS vs COSTOS vs MARGEN</t>
  </si>
  <si>
    <t>Estudiantes</t>
  </si>
  <si>
    <t>Costo/Est.(USD)</t>
  </si>
  <si>
    <t>Costo/Est.(CLP)</t>
  </si>
  <si>
    <t>Ingresos(USD)</t>
  </si>
  <si>
    <t>Ingresos(CLP)</t>
  </si>
  <si>
    <t>Ganancia(USD)</t>
  </si>
  <si>
    <t>Ganancia(CLP)</t>
  </si>
  <si>
    <t>Margen %</t>
  </si>
  <si>
    <t>Tipo</t>
  </si>
  <si>
    <t>MVP</t>
  </si>
  <si>
    <t>Piloto</t>
  </si>
  <si>
    <t>Crecimiento</t>
  </si>
  <si>
    <t>Escala</t>
  </si>
  <si>
    <t>Infraestructura Fija por Etapa — USD y CLP — Con justificación y fuentes</t>
  </si>
  <si>
    <t>⚠️  IMPORTANTE: Se requiere Google Workspace BUSINESS STANDARD ($12/usuario/mes) — NO Starter — para obtener: grabación automática en Drive, transcripciones de Meet, y acceso a Meet/Calendar/Drive APIs. Fuente: workspace.google.com/features/meetings</t>
  </si>
  <si>
    <t>ETAPA MVP (0–100 estudiantes) — Infraestructura: US$100/mes ≈ $95.000 CLP/mes</t>
  </si>
  <si>
    <t>Plan / Detalle</t>
  </si>
  <si>
    <t>Costo CLP/mes</t>
  </si>
  <si>
    <t>Fuente / Justificación</t>
  </si>
  <si>
    <t>Google Workspace Business Standard</t>
  </si>
  <si>
    <t>3 usuarios × $12</t>
  </si>
  <si>
    <t>$34.200</t>
  </si>
  <si>
    <t>Meet Rec. + Transcripción + Drive + Calendar API</t>
  </si>
  <si>
    <t>Supabase</t>
  </si>
  <si>
    <t>Free tier</t>
  </si>
  <si>
    <t>$0</t>
  </si>
  <si>
    <t>500MB BD, 1GB storage — suficiente hasta 200 est.</t>
  </si>
  <si>
    <t>Netlify</t>
  </si>
  <si>
    <t>125k invocaciones/mes — suficiente hasta 1.000 est.</t>
  </si>
  <si>
    <t>Herramientas dev (GitHub Copilot, etc.)</t>
  </si>
  <si>
    <t>Monthly</t>
  </si>
  <si>
    <t>US$20</t>
  </si>
  <si>
    <t>$19.000</t>
  </si>
  <si>
    <t>Productividad equipo fundador</t>
  </si>
  <si>
    <t>ChatGPT Plus (dev/testing)</t>
  </si>
  <si>
    <t>Pruebas y desarrollo del equipo</t>
  </si>
  <si>
    <t>Dominio + Cloudflare</t>
  </si>
  <si>
    <t>Anual/mensual</t>
  </si>
  <si>
    <t>US$4</t>
  </si>
  <si>
    <t>$3.800</t>
  </si>
  <si>
    <t>DNS + SSL + CDN básico</t>
  </si>
  <si>
    <t>TOTAL INFRAESTRUCTURA FIJA</t>
  </si>
  <si>
    <t>US$80</t>
  </si>
  <si>
    <t>$76.000</t>
  </si>
  <si>
    <t>Contingencia / overhead (25%)</t>
  </si>
  <si>
    <t>TOTAL CON CONTINGENCIA</t>
  </si>
  <si>
    <t>US$100</t>
  </si>
  <si>
    <t>$95.000</t>
  </si>
  <si>
    <t>ETAPA PILOTO (100–500 estudiantes) — Infraestructura: US$125/mes ≈ $118.750 CLP/mes</t>
  </si>
  <si>
    <t>3–5 usuarios × $12</t>
  </si>
  <si>
    <t>US$36–60</t>
  </si>
  <si>
    <t>$34.200–57.000</t>
  </si>
  <si>
    <t>Orientadores + admins en Workspace</t>
  </si>
  <si>
    <t>Supabase Pro</t>
  </si>
  <si>
    <t>Pro tier ($25)</t>
  </si>
  <si>
    <t>US$25</t>
  </si>
  <si>
    <t>$23.750</t>
  </si>
  <si>
    <t>8GB BD, 100GB storage, backups, RLS performance</t>
  </si>
  <si>
    <t>Free tier aún OK</t>
  </si>
  <si>
    <t>&lt; 125k invocaciones/mes</t>
  </si>
  <si>
    <t>Sentry (monitoreo)</t>
  </si>
  <si>
    <t>Startup ($26)</t>
  </si>
  <si>
    <t>$24.700</t>
  </si>
  <si>
    <t>500k eventos, performance tracking</t>
  </si>
  <si>
    <t>Dev tools + herramientas</t>
  </si>
  <si>
    <t>Cloudflare Pro</t>
  </si>
  <si>
    <t>Pro ($20)</t>
  </si>
  <si>
    <t>CDN mejorado, WAF básico</t>
  </si>
  <si>
    <t>US$125</t>
  </si>
  <si>
    <t>$118.750</t>
  </si>
  <si>
    <t>ETAPA CRECIMIENTO (500–2.000 estudiantes) — Infraestructura: US$155/mes ≈ $147.250 CLP/mes</t>
  </si>
  <si>
    <t>5–10 usuarios × $12</t>
  </si>
  <si>
    <t>US$60–120</t>
  </si>
  <si>
    <t>$57.000–114.000</t>
  </si>
  <si>
    <t>Equipo completo: devs + orientadores + admins</t>
  </si>
  <si>
    <t>Supabase Pro (enhanced)</t>
  </si>
  <si>
    <t>Pro + addons</t>
  </si>
  <si>
    <t>US$35</t>
  </si>
  <si>
    <t>$33.250</t>
  </si>
  <si>
    <t>Pro + storage adicional + read replica</t>
  </si>
  <si>
    <t>Netlify Pro</t>
  </si>
  <si>
    <t>Pro ($19)</t>
  </si>
  <si>
    <t>US$19</t>
  </si>
  <si>
    <t>$18.050</t>
  </si>
  <si>
    <t>500k invocaciones, analytics, SLA</t>
  </si>
  <si>
    <t>Sentry Business</t>
  </si>
  <si>
    <t>Business</t>
  </si>
  <si>
    <t>Alertas avanzadas, replay de sesiones</t>
  </si>
  <si>
    <t>Dev tools expandidos</t>
  </si>
  <si>
    <t>US$155</t>
  </si>
  <si>
    <t>$147.250</t>
  </si>
  <si>
    <t>ETAPA ESCALA (2.000–10.000 estudiantes) — Infraestructura: US$230–650/mes</t>
  </si>
  <si>
    <t>10–20 usuarios × $12</t>
  </si>
  <si>
    <t>US$120–240</t>
  </si>
  <si>
    <t>$114.000–228.000</t>
  </si>
  <si>
    <t>Equipo grande + orientadores de todos los colegios</t>
  </si>
  <si>
    <t>Supabase Team</t>
  </si>
  <si>
    <t>Team tier ($599) o Pro enhanced</t>
  </si>
  <si>
    <t>US$150–599</t>
  </si>
  <si>
    <t>$142.500–569.050</t>
  </si>
  <si>
    <t>Alta disponibilidad, múltiples colegios</t>
  </si>
  <si>
    <t>Netlify Business</t>
  </si>
  <si>
    <t>Business ($99)</t>
  </si>
  <si>
    <t>US$99</t>
  </si>
  <si>
    <t>$94.050</t>
  </si>
  <si>
    <t>Unlimited BW, team features, SLA 99.99%</t>
  </si>
  <si>
    <t>Datadog / LogRocket</t>
  </si>
  <si>
    <t>US$150</t>
  </si>
  <si>
    <t>$142.500</t>
  </si>
  <si>
    <t>APM, RUM, logs para escala nacional</t>
  </si>
  <si>
    <t>Cloudflare Pro + LATAM</t>
  </si>
  <si>
    <t>CDN optimizado para Chile y LATAM</t>
  </si>
  <si>
    <t>TOTAL (rango)</t>
  </si>
  <si>
    <t>US$230–650</t>
  </si>
  <si>
    <t>$218.500–617.500</t>
  </si>
  <si>
    <t>Plan de Inversión en Infraestructura — Mes a Mes (24 meses) — USD y CLP</t>
  </si>
  <si>
    <t>Mes</t>
  </si>
  <si>
    <t>Costo IA
(USD)</t>
  </si>
  <si>
    <t>Costo BD
(USD)</t>
  </si>
  <si>
    <t>Infra Fija
(USD)</t>
  </si>
  <si>
    <t>Total Mensual
(USD)</t>
  </si>
  <si>
    <t>Total Mensual
(CLP $)</t>
  </si>
  <si>
    <t>Evento de Upgrade / Acción</t>
  </si>
  <si>
    <t>Fuente</t>
  </si>
  <si>
    <t>netlify.com/pricing + supabase.com/pricing</t>
  </si>
  <si>
    <t>Validación con primeros usuarios</t>
  </si>
  <si>
    <t>Netlify Free + Supabase Free OK</t>
  </si>
  <si>
    <t>Presentación a primer colegio piloto</t>
  </si>
  <si>
    <t>Prueba piloto — Meet grabaciones activas</t>
  </si>
  <si>
    <t>Evaluar upgrade Supabase Pro (+US$25)</t>
  </si>
  <si>
    <t>supabase.com/pricing — Pro tier</t>
  </si>
  <si>
    <t>Supabase Pro obligatorio activado</t>
  </si>
  <si>
    <t>supabase.com/pricing — 8GB BD, backups</t>
  </si>
  <si>
    <t>Sentry Startup (+US$26) — monitoreo</t>
  </si>
  <si>
    <t>sentry.io/pricing — 500k eventos</t>
  </si>
  <si>
    <t>2do colegio en piloto</t>
  </si>
  <si>
    <t>Facturación anual confirmada</t>
  </si>
  <si>
    <t>Netlify Pro recomendado (+US$19)</t>
  </si>
  <si>
    <t>netlify.com/pricing — 500k func/mes</t>
  </si>
  <si>
    <t>Cierre año 1: revisión de CAC y LTV</t>
  </si>
  <si>
    <t>Cloudflare Pro (+US$20)</t>
  </si>
  <si>
    <t>cloudflare.com/plans — CDN LATAM</t>
  </si>
  <si>
    <t>Expansión a 5 colegios</t>
  </si>
  <si>
    <t>Contratar orientador interno</t>
  </si>
  <si>
    <t>Activar Claude Haiku para juegos</t>
  </si>
  <si>
    <t>Revisar storage Supabase (+US$10)</t>
  </si>
  <si>
    <t>supabase.com/pricing — storage adicional</t>
  </si>
  <si>
    <t>Netlify Business evaluar (+US$80)</t>
  </si>
  <si>
    <t>netlify.com/pricing — Business tier</t>
  </si>
  <si>
    <t>Objetivo Serie A: US$18k MRR</t>
  </si>
  <si>
    <t>Supabase Team evaluar (US$599)</t>
  </si>
  <si>
    <t>supabase.com/pricing — Team tier</t>
  </si>
  <si>
    <t>Expansión LATAM: Colombia / Perú</t>
  </si>
  <si>
    <t>Datadog/LogRocket Business (+US$150)</t>
  </si>
  <si>
    <t>datadoghq.com/pricing</t>
  </si>
  <si>
    <t>Negociar precio enterprise Anthropic</t>
  </si>
  <si>
    <t>anthropic.com/api — descuento volumen</t>
  </si>
  <si>
    <t>Supabase Team o BD dedicada — US$599+</t>
  </si>
  <si>
    <t>supabase.com/pricing — Team $599/mes</t>
  </si>
  <si>
    <t>Total USD</t>
  </si>
  <si>
    <t>Ingresos USD</t>
  </si>
  <si>
    <t>Total CLP</t>
  </si>
  <si>
    <t>Ingresos CLP</t>
  </si>
  <si>
    <t>Modelo B2B — Contratos por Colegio — USD y CLP</t>
  </si>
  <si>
    <t>PLANES DE PRECIO POR COLEGIO</t>
  </si>
  <si>
    <t>Plan</t>
  </si>
  <si>
    <t>Precio/Est./Mes (USD)</t>
  </si>
  <si>
    <t>Precio/Est./Mes (CLP)</t>
  </si>
  <si>
    <t>Costo Mínimo Est.</t>
  </si>
  <si>
    <t>Que incluye</t>
  </si>
  <si>
    <t>Contrato Anual (100 est.)</t>
  </si>
  <si>
    <t>Contrato Anual CLP (100 est.)</t>
  </si>
  <si>
    <t>Básico</t>
  </si>
  <si>
    <t>US$15</t>
  </si>
  <si>
    <t>$14,250</t>
  </si>
  <si>
    <t>Min. 20 est.</t>
  </si>
  <si>
    <t>Orientación RIASEC + recomendaciones de carrera</t>
  </si>
  <si>
    <t>US$15,300/año (-15%)</t>
  </si>
  <si>
    <t>$14,535,000/año</t>
  </si>
  <si>
    <t>Estándar</t>
  </si>
  <si>
    <t>$19,000</t>
  </si>
  <si>
    <t>Min. 30 est.</t>
  </si>
  <si>
    <t>RIASEC + Sesiones Meet + IA resúmenes + Dashboard apoderados</t>
  </si>
  <si>
    <t>US$20,400/año (-15%)</t>
  </si>
  <si>
    <t>$19,380,000/año</t>
  </si>
  <si>
    <t>Premium</t>
  </si>
  <si>
    <t>$23,750</t>
  </si>
  <si>
    <t>Min. 40 est.</t>
  </si>
  <si>
    <t>Todo + Juegos IA + Simulación vida futura + Informes PDF</t>
  </si>
  <si>
    <t>US$25,500/año (-15%)</t>
  </si>
  <si>
    <t>$24,225,000/año</t>
  </si>
  <si>
    <t>ESCALAMIENTO MULTI-COLEGIO — INGRESOS vs COSTOS</t>
  </si>
  <si>
    <t>Colegios</t>
  </si>
  <si>
    <t>Est./Colegio</t>
  </si>
  <si>
    <t>Total Est.</t>
  </si>
  <si>
    <t>Costo Total (USD)</t>
  </si>
  <si>
    <t>Costo Total (CLP)</t>
  </si>
  <si>
    <t>MRR USD ($20/est.)</t>
  </si>
  <si>
    <t>MRR CLP</t>
  </si>
  <si>
    <t>MRR USD</t>
  </si>
  <si>
    <t>Costo USD</t>
  </si>
  <si>
    <t>Vocari / OrientaIA — Resumen Financiero para Inversores</t>
  </si>
  <si>
    <t>Márgenes brutos 85%+ | Break-even 6 estudiantes | Costo IA: US$0.80/est./mes | TAM Chile: 900k estudiantes</t>
  </si>
  <si>
    <t>85–92%</t>
  </si>
  <si>
    <t>Margen Bruto
(escala 100–1k est.)</t>
  </si>
  <si>
    <t>US$0.80</t>
  </si>
  <si>
    <t>Costo IA
por est./mes</t>
  </si>
  <si>
    <t>6 est.</t>
  </si>
  <si>
    <t>Break-even
punto equilibrio</t>
  </si>
  <si>
    <t>US$1.10</t>
  </si>
  <si>
    <t>Costo variable
total/est./mes</t>
  </si>
  <si>
    <t>US$18k</t>
  </si>
  <si>
    <t>MRR Objetivo
(1.000 est.)</t>
  </si>
  <si>
    <t>HITOS DE INGRESOS Y MÁRGENES (en USD y CLP)</t>
  </si>
  <si>
    <t>Hito / Etapa</t>
  </si>
  <si>
    <t>Est.</t>
  </si>
  <si>
    <t>MRR (USD)</t>
  </si>
  <si>
    <t>MRR (CLP)</t>
  </si>
  <si>
    <t>Margen Bruto</t>
  </si>
  <si>
    <t>Validación seed</t>
  </si>
  <si>
    <t>Cierre pre-seed</t>
  </si>
  <si>
    <t>Cierre seed</t>
  </si>
  <si>
    <t>Objetivo Serie A</t>
  </si>
  <si>
    <t>Objetivo Serie B</t>
  </si>
  <si>
    <t>IMPACTO DEL NUEVO MODELO (Google Meet Transcripción vs modelo anterior)</t>
  </si>
  <si>
    <t>Métrica</t>
  </si>
  <si>
    <t>Modelo Anterior</t>
  </si>
  <si>
    <t>Modelo Nuevo</t>
  </si>
  <si>
    <t>Diferencia</t>
  </si>
  <si>
    <t>Impacto</t>
  </si>
  <si>
    <t>Costo transcripción/sesión</t>
  </si>
  <si>
    <t>US$2.00</t>
  </si>
  <si>
    <t>US$0.00</t>
  </si>
  <si>
    <t>-US$2.00</t>
  </si>
  <si>
    <t>Incluido en Google Workspace Standard</t>
  </si>
  <si>
    <t>Costo IA por est./mes</t>
  </si>
  <si>
    <t>US$8.00</t>
  </si>
  <si>
    <t>-US$7.20</t>
  </si>
  <si>
    <t>Claude solo para análisis/resúmenes</t>
  </si>
  <si>
    <t>Costo BD por est./mes</t>
  </si>
  <si>
    <t>US$0.50</t>
  </si>
  <si>
    <t>US$0.30</t>
  </si>
  <si>
    <t>-US$0.20</t>
  </si>
  <si>
    <t>Schema optimizado</t>
  </si>
  <si>
    <t>Costo variable total/est.</t>
  </si>
  <si>
    <t>US$8.50</t>
  </si>
  <si>
    <t>-US$7.40</t>
  </si>
  <si>
    <t>87% de reducción</t>
  </si>
  <si>
    <t>Margen bruto (100 est.)</t>
  </si>
  <si>
    <t>52%</t>
  </si>
  <si>
    <t>91%</t>
  </si>
  <si>
    <t>+39pp</t>
  </si>
  <si>
    <t>Modelo financiero radicalmente mejor</t>
  </si>
  <si>
    <t>Break-even (estudiantes)</t>
  </si>
  <si>
    <t>~13 est.</t>
  </si>
  <si>
    <t>~6 est.</t>
  </si>
  <si>
    <t>-7 est.</t>
  </si>
  <si>
    <t>Rentable en escala mínima</t>
  </si>
  <si>
    <t>Margen Antiguo</t>
  </si>
  <si>
    <t>Margen Nuevo</t>
  </si>
  <si>
    <t>10 est.</t>
  </si>
  <si>
    <t>100 est.</t>
  </si>
  <si>
    <t>500 est.</t>
  </si>
  <si>
    <t>1.000 est.</t>
  </si>
  <si>
    <t>5.000 est.</t>
  </si>
  <si>
    <t>Tipo de cambio utilizado: 1 USD = 950 CLP (referencial Marzo 2026). Actualizar celda USD_TO_CLP según mercado.</t>
  </si>
  <si>
    <t>Fuentes: anthropic.com/api | supabase.com/pricing | netlify.com/pricing | workspace.google.com/pricing | developers.google.com/meet/api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</si>
</sst>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US$#,##0.00"/>
    <numFmt numFmtId="166" formatCode="$#,##0"/>
    <numFmt numFmtId="167" formatCode="US$#,##0"/>
    <numFmt numFmtId="168" formatCode="0%"/>
    <numFmt numFmtId="169" formatCode="0.0%"/>
  </numFmts>
  <fonts count="4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33B5E5"/>
      <name val="Calibri"/>
      <family val="2"/>
      <scheme val="minor"/>
    </font>
    <font>
      <b/>
      <sz val="10"/>
      <color rgb="FF0C1E3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C1E3C"/>
      <name val="Calibri"/>
      <family val="2"/>
      <scheme val="minor"/>
    </font>
    <font>
      <b/>
      <sz val="9"/>
      <color rgb="FF1A5276"/>
      <name val="Calibri"/>
      <family val="2"/>
      <scheme val="minor"/>
    </font>
    <font>
      <i/>
      <sz val="8"/>
      <color rgb="FF7F8C8D"/>
      <name val="Calibri"/>
      <family val="2"/>
      <scheme val="minor"/>
    </font>
    <font>
      <sz val="9"/>
      <color rgb="FF2C3E50"/>
      <name val="Calibri"/>
      <family val="2"/>
      <scheme val="minor"/>
    </font>
    <font>
      <sz val="9"/>
      <color rgb="FF2C3E50"/>
      <name val="Calibri"/>
      <family val="2"/>
      <scheme val="minor"/>
    </font>
    <font>
      <i/>
      <sz val="8"/>
      <color rgb="FF2C3E50"/>
      <name val="Calibri"/>
      <family val="2"/>
      <scheme val="minor"/>
    </font>
    <font>
      <i/>
      <sz val="9"/>
      <color rgb="FF2C3E5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F39C12"/>
      <name val="Calibri"/>
      <family val="2"/>
      <scheme val="minor"/>
    </font>
    <font>
      <sz val="8"/>
      <color rgb="FFFFFFFF"/>
      <name val="Calibri"/>
      <family val="2"/>
      <scheme val="minor"/>
    </font>
    <font>
      <b/>
      <i/>
      <sz val="9"/>
      <color rgb="FF27AE60"/>
      <name val="Calibri"/>
      <family val="2"/>
      <scheme val="minor"/>
    </font>
    <font>
      <u/>
      <sz val="8"/>
      <color rgb="FF33B5E5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14"/>
      <color rgb="FF33B5E5"/>
      <name val="Calibri"/>
      <family val="2"/>
      <scheme val="minor"/>
    </font>
    <font>
      <sz val="9"/>
      <color rgb="FF0C1E3C"/>
      <name val="Calibri"/>
      <family val="2"/>
      <scheme val="minor"/>
    </font>
    <font>
      <sz val="9"/>
      <color rgb="FF2C3E50"/>
      <name val="Calibri"/>
      <family val="2"/>
      <scheme val="minor"/>
    </font>
    <font>
      <sz val="11"/>
      <color rgb="FF1A527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39C12"/>
      <name val="Calibri"/>
      <family val="2"/>
      <scheme val="minor"/>
    </font>
    <font>
      <sz val="9"/>
      <color rgb="FF0C1E3C"/>
      <name val="Calibri"/>
      <family val="2"/>
      <scheme val="minor"/>
    </font>
    <font>
      <sz val="9"/>
      <color rgb="FF1A5276"/>
      <name val="Calibri"/>
      <family val="2"/>
      <scheme val="minor"/>
    </font>
    <font>
      <i/>
      <u/>
      <sz val="8"/>
      <color rgb="FF33B5E5"/>
      <name val="Calibri"/>
      <family val="2"/>
      <scheme val="minor"/>
    </font>
    <font>
      <b/>
      <sz val="8"/>
      <color rgb="FFE67E2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1A52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F39C12"/>
      <name val="Calibri"/>
      <family val="2"/>
      <scheme val="minor"/>
    </font>
    <font>
      <b/>
      <sz val="22"/>
      <color rgb="FFF39C12"/>
      <name val="Calibri"/>
      <family val="2"/>
      <scheme val="minor"/>
    </font>
    <font>
      <sz val="8"/>
      <color rgb="FF7F8C8D"/>
      <name val="Calibri"/>
      <family val="2"/>
      <scheme val="minor"/>
    </font>
    <font>
      <sz val="9"/>
      <color rgb="FFE74C3C"/>
      <name val="Calibri"/>
      <family val="2"/>
      <scheme val="minor"/>
    </font>
    <font>
      <b/>
      <sz val="9"/>
      <color rgb="FF27AE60"/>
      <name val="Calibri"/>
      <family val="2"/>
      <scheme val="minor"/>
    </font>
    <font>
      <b/>
      <sz val="9"/>
      <color rgb="FF1ABC9C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C1E3C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33B5E5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DEDEC"/>
        <bgColor indexed="64"/>
      </patternFill>
    </fill>
  </fills>
  <borders count="15">
    <border>
      <left/>
      <right/>
      <top/>
      <bottom/>
      <diagonal/>
    </border>
    <border>
      <left style="dashed">
        <color rgb="FF33B5E5"/>
      </left>
      <right/>
      <top/>
      <bottom style="thin">
        <color rgb="FFBDC3C7"/>
      </bottom>
      <diagonal/>
    </border>
    <border>
      <left style="thin">
        <color rgb="FF33B5E5"/>
      </left>
      <right style="thin">
        <color rgb="FF33B5E5"/>
      </right>
      <top style="thin">
        <color rgb="FF33B5E5"/>
      </top>
      <bottom style="thin">
        <color rgb="FF33B5E5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 style="thin">
        <color rgb="FF0C1E3C"/>
      </left>
      <right style="thin">
        <color rgb="FF0C1E3C"/>
      </right>
      <top style="thin">
        <color rgb="FF0C1E3C"/>
      </top>
      <bottom style="thin">
        <color rgb="FF0C1E3C"/>
      </bottom>
      <diagonal/>
    </border>
    <border>
      <left style="thin">
        <color rgb="FF8E44AD"/>
      </left>
      <right style="thin">
        <color rgb="FF8E44AD"/>
      </right>
      <top style="thin">
        <color rgb="FF8E44AD"/>
      </top>
      <bottom style="thin">
        <color rgb="FF8E44AD"/>
      </bottom>
      <diagonal/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  <diagonal/>
    </border>
    <border>
      <left style="medium">
        <color rgb="FF33B5E5"/>
      </left>
      <right style="medium">
        <color rgb="FF33B5E5"/>
      </right>
      <top style="medium">
        <color rgb="FF33B5E5"/>
      </top>
      <bottom style="medium">
        <color rgb="FF33B5E5"/>
      </bottom>
      <diagonal/>
    </border>
    <border>
      <left style="dotted">
        <color rgb="FFF39C12"/>
      </left>
      <right/>
      <top/>
      <bottom/>
      <diagonal/>
    </border>
    <border>
      <left style="medium">
        <color rgb="FF1ABC9C"/>
      </left>
      <right style="medium">
        <color rgb="FF1ABC9C"/>
      </right>
      <top style="medium">
        <color rgb="FF1ABC9C"/>
      </top>
      <bottom style="medium">
        <color rgb="FF1ABC9C"/>
      </bottom>
      <diagonal/>
    </border>
    <border>
      <left style="medium">
        <color rgb="FF8E44AD"/>
      </left>
      <right style="medium">
        <color rgb="FF8E44AD"/>
      </right>
      <top style="medium">
        <color rgb="FF8E44AD"/>
      </top>
      <bottom style="medium">
        <color rgb="FF8E44AD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/>
      <right/>
      <top style="dotted">
        <color rgb="FF1ABC9C"/>
      </top>
      <bottom/>
      <diagonal/>
    </border>
    <border>
      <left/>
      <right/>
      <top/>
      <bottom style="dotted">
        <color rgb="FF1ABC9C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horizontal="right" vertical="center"/>
    </xf>
    <xf numFmtId="0" fontId="8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center"/>
    </xf>
    <xf numFmtId="0" fontId="16" fillId="6" borderId="4" xfId="0" applyFont="1" applyFill="1" applyBorder="1"/>
    <xf numFmtId="0" fontId="17" fillId="4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8" fillId="8" borderId="7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" fillId="8" borderId="9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9" borderId="1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0" fontId="4" fillId="10" borderId="5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right"/>
    </xf>
    <xf numFmtId="166" fontId="22" fillId="0" borderId="3" xfId="0" applyNumberFormat="1" applyFont="1" applyBorder="1" applyAlignment="1">
      <alignment horizontal="right"/>
    </xf>
    <xf numFmtId="167" fontId="23" fillId="2" borderId="2" xfId="0" applyNumberFormat="1" applyFont="1" applyFill="1" applyBorder="1" applyAlignment="1">
      <alignment horizontal="right"/>
    </xf>
    <xf numFmtId="166" fontId="24" fillId="12" borderId="2" xfId="0" applyNumberFormat="1" applyFont="1" applyFill="1" applyBorder="1" applyAlignment="1">
      <alignment horizontal="right"/>
    </xf>
    <xf numFmtId="164" fontId="0" fillId="5" borderId="3" xfId="0" applyNumberFormat="1" applyFill="1" applyBorder="1" applyAlignment="1">
      <alignment horizontal="center"/>
    </xf>
    <xf numFmtId="165" fontId="0" fillId="5" borderId="3" xfId="0" applyNumberFormat="1" applyFill="1" applyBorder="1" applyAlignment="1">
      <alignment horizontal="right"/>
    </xf>
    <xf numFmtId="166" fontId="22" fillId="5" borderId="3" xfId="0" applyNumberFormat="1" applyFont="1" applyFill="1" applyBorder="1" applyAlignment="1">
      <alignment horizontal="right"/>
    </xf>
    <xf numFmtId="167" fontId="0" fillId="0" borderId="3" xfId="0" applyNumberFormat="1" applyBorder="1" applyAlignment="1">
      <alignment horizontal="right"/>
    </xf>
    <xf numFmtId="168" fontId="23" fillId="9" borderId="2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167" fontId="0" fillId="5" borderId="3" xfId="0" applyNumberFormat="1" applyFill="1" applyBorder="1" applyAlignment="1">
      <alignment horizontal="right"/>
    </xf>
    <xf numFmtId="168" fontId="23" fillId="8" borderId="2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4" fillId="13" borderId="0" xfId="0" applyFont="1" applyFill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/>
    </xf>
    <xf numFmtId="0" fontId="25" fillId="4" borderId="3" xfId="0" applyFont="1" applyFill="1" applyBorder="1" applyAlignment="1">
      <alignment horizontal="right" vertical="center"/>
    </xf>
    <xf numFmtId="0" fontId="26" fillId="4" borderId="3" xfId="0" applyFont="1" applyFill="1" applyBorder="1" applyAlignment="1">
      <alignment horizontal="right" vertical="center"/>
    </xf>
    <xf numFmtId="0" fontId="27" fillId="4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left" vertical="center"/>
    </xf>
    <xf numFmtId="0" fontId="25" fillId="5" borderId="3" xfId="0" applyFont="1" applyFill="1" applyBorder="1" applyAlignment="1">
      <alignment horizontal="right" vertical="center"/>
    </xf>
    <xf numFmtId="0" fontId="26" fillId="5" borderId="3" xfId="0" applyFont="1" applyFill="1" applyBorder="1" applyAlignment="1">
      <alignment horizontal="right" vertical="center"/>
    </xf>
    <xf numFmtId="0" fontId="27" fillId="5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8" fillId="14" borderId="3" xfId="0" applyFont="1" applyFill="1" applyBorder="1" applyAlignment="1">
      <alignment horizontal="left" vertical="center" wrapText="1"/>
    </xf>
    <xf numFmtId="0" fontId="29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left" vertical="center" wrapText="1"/>
    </xf>
    <xf numFmtId="0" fontId="29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30" fillId="5" borderId="3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left" vertical="center" wrapText="1"/>
    </xf>
    <xf numFmtId="167" fontId="23" fillId="9" borderId="2" xfId="0" applyNumberFormat="1" applyFont="1" applyFill="1" applyBorder="1" applyAlignment="1">
      <alignment horizontal="right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/>
    </xf>
    <xf numFmtId="0" fontId="34" fillId="12" borderId="13" xfId="0" applyFont="1" applyFill="1" applyBorder="1" applyAlignment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/>
    </xf>
    <xf numFmtId="0" fontId="36" fillId="15" borderId="3" xfId="0" applyFont="1" applyFill="1" applyBorder="1" applyAlignment="1">
      <alignment horizontal="center"/>
    </xf>
    <xf numFmtId="0" fontId="37" fillId="6" borderId="3" xfId="0" applyFont="1" applyFill="1" applyBorder="1" applyAlignment="1">
      <alignment horizontal="center"/>
    </xf>
    <xf numFmtId="0" fontId="38" fillId="6" borderId="3" xfId="0" applyFont="1" applyFill="1" applyBorder="1" applyAlignment="1">
      <alignment horizontal="center"/>
    </xf>
    <xf numFmtId="0" fontId="39" fillId="4" borderId="3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39" fillId="5" borderId="3" xfId="0" applyFont="1" applyFill="1" applyBorder="1" applyAlignment="1">
      <alignment horizontal="left"/>
    </xf>
    <xf numFmtId="169" fontId="0" fillId="0" borderId="3" xfId="0" applyNumberFormat="1" applyBorder="1" applyAlignment="1">
      <alignment horizont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Costo Total vs Ingresos Mensuales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Costo Total</c:v>
          </c:tx>
          <c:spPr>
            <a:solidFill>
              <a:srgbClr val="E74C3C"/>
            </a:solidFill>
          </c:spPr>
          <c:cat>
            <c:numRef>
              <c:f>'📊 Economía Unitaria USD+CLP'!$A$5:$A$12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</c:numCache>
            </c:numRef>
          </c:cat>
          <c:val>
            <c:numRef>
              <c:f>'📊 Economía Unitaria USD+CLP'!$H$5:$H$12</c:f>
              <c:numCache>
                <c:formatCode>General</c:formatCode>
                <c:ptCount val="8"/>
                <c:pt idx="0">
                  <c:v>111</c:v>
                </c:pt>
                <c:pt idx="1">
                  <c:v>133</c:v>
                </c:pt>
                <c:pt idx="2">
                  <c:v>155</c:v>
                </c:pt>
                <c:pt idx="3">
                  <c:v>210</c:v>
                </c:pt>
                <c:pt idx="4">
                  <c:v>345</c:v>
                </c:pt>
                <c:pt idx="5">
                  <c:v>675</c:v>
                </c:pt>
                <c:pt idx="6">
                  <c:v>1255</c:v>
                </c:pt>
                <c:pt idx="7">
                  <c:v>5730</c:v>
                </c:pt>
              </c:numCache>
            </c:numRef>
          </c:val>
        </c:ser>
        <c:ser>
          <c:idx val="1"/>
          <c:order val="1"/>
          <c:tx>
            <c:v>Ingresos ($20/est.)</c:v>
          </c:tx>
          <c:spPr>
            <a:solidFill>
              <a:srgbClr val="27AE60"/>
            </a:solidFill>
          </c:spPr>
          <c:cat>
            <c:numRef>
              <c:f>'📊 Economía Unitaria USD+CLP'!$A$5:$A$12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</c:numCache>
            </c:numRef>
          </c:cat>
          <c:val>
            <c:numRef>
              <c:f>'📊 Economía Unitaria USD+CLP'!$D$16:$D$23</c:f>
              <c:numCache>
                <c:formatCode>General</c:formatCode>
                <c:ptCount val="8"/>
                <c:pt idx="0">
                  <c:v>200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10000</c:v>
                </c:pt>
                <c:pt idx="6">
                  <c:v>20000</c:v>
                </c:pt>
                <c:pt idx="7">
                  <c:v>100000</c:v>
                </c:pt>
              </c:numCache>
            </c:numRef>
          </c:val>
        </c:ser>
        <c:gapWidth val="5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Estudiantes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/ mes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Costo por Estudiante/Mes (USD) — Dilución de Costos Fijos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Costo/Estudiante (USD)</c:v>
          </c:tx>
          <c:spPr>
            <a:ln w="31750">
              <a:solidFill>
                <a:srgbClr val="0C1E3C"/>
              </a:solidFill>
            </a:ln>
          </c:spPr>
          <c:marker>
            <c:symbol val="circle"/>
            <c:size val="7"/>
            <c:spPr>
              <a:solidFill>
                <a:srgbClr val="33B5E5"/>
              </a:solidFill>
            </c:spPr>
          </c:marker>
          <c:dLbls>
            <c:numFmt formatCode="$#,##0.00" sourceLinked="0"/>
            <c:dLblPos val="t"/>
            <c:showVal val="1"/>
          </c:dLbls>
          <c:cat>
            <c:numRef>
              <c:f>'📊 Economía Unitaria USD+CLP'!$A$5:$A$12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</c:numCache>
            </c:numRef>
          </c:cat>
          <c:val>
            <c:numRef>
              <c:f>'📊 Economía Unitaria USD+CLP'!$B$16:$B$23</c:f>
              <c:numCache>
                <c:formatCode>General</c:formatCode>
                <c:ptCount val="8"/>
                <c:pt idx="0">
                  <c:v>11.1</c:v>
                </c:pt>
                <c:pt idx="1">
                  <c:v>4.433333333333334</c:v>
                </c:pt>
                <c:pt idx="2">
                  <c:v>3.1</c:v>
                </c:pt>
                <c:pt idx="3">
                  <c:v>2.1</c:v>
                </c:pt>
                <c:pt idx="4">
                  <c:v>1.725</c:v>
                </c:pt>
                <c:pt idx="5">
                  <c:v>1.35</c:v>
                </c:pt>
                <c:pt idx="6">
                  <c:v>1.255</c:v>
                </c:pt>
                <c:pt idx="7">
                  <c:v>1.146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Estudiantes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2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 / estudiante / mes</a:t>
                </a:r>
              </a:p>
            </c:rich>
          </c:tx>
          <c:layout/>
        </c:title>
        <c:numFmt formatCode="$#,##0.00" sourceLinked="0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Margen Bruto (%) — Evolución por Escala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Margen Bruto</c:v>
          </c:tx>
          <c:spPr>
            <a:ln w="31750">
              <a:solidFill>
                <a:srgbClr val="27AE60"/>
              </a:solidFill>
            </a:ln>
          </c:spPr>
          <c:marker>
            <c:symbol val="square"/>
            <c:size val="6"/>
            <c:spPr>
              <a:solidFill>
                <a:srgbClr val="F39C12"/>
              </a:solidFill>
            </c:spPr>
          </c:marker>
          <c:dLbls>
            <c:numFmt formatCode="0%" sourceLinked="0"/>
            <c:dLblPos val="t"/>
            <c:showVal val="1"/>
          </c:dLbls>
          <c:cat>
            <c:numRef>
              <c:f>'📊 Economía Unitaria USD+CLP'!$A$5:$A$12</c:f>
              <c:numCache>
                <c:formatCode>General</c:formatCode>
                <c:ptCount val="8"/>
                <c:pt idx="0">
                  <c:v>10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1000</c:v>
                </c:pt>
                <c:pt idx="7">
                  <c:v>5000</c:v>
                </c:pt>
              </c:numCache>
            </c:numRef>
          </c:cat>
          <c:val>
            <c:numRef>
              <c:f>'📊 Economía Unitaria USD+CLP'!$H$16:$H$23</c:f>
              <c:numCache>
                <c:formatCode>General</c:formatCode>
                <c:ptCount val="8"/>
                <c:pt idx="0">
                  <c:v>0.445</c:v>
                </c:pt>
                <c:pt idx="1">
                  <c:v>0.7783333333333333</c:v>
                </c:pt>
                <c:pt idx="2">
                  <c:v>0.845</c:v>
                </c:pt>
                <c:pt idx="3">
                  <c:v>0.895</c:v>
                </c:pt>
                <c:pt idx="4">
                  <c:v>0.91375</c:v>
                </c:pt>
                <c:pt idx="5">
                  <c:v>0.9325</c:v>
                </c:pt>
                <c:pt idx="6">
                  <c:v>0.93725</c:v>
                </c:pt>
                <c:pt idx="7">
                  <c:v>0.9427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Estudiantes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Margen Bruto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Evolución de Costos e Ingresos — 24 Meses (USD)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Costo Total (USD)</c:v>
          </c:tx>
          <c:spPr>
            <a:solidFill>
              <a:srgbClr val="E74C3C">
                <a:alpha val="70000"/>
              </a:srgbClr>
            </a:solidFill>
            <a:ln>
              <a:solidFill>
                <a:srgbClr val="E74C3C"/>
              </a:solidFill>
            </a:ln>
          </c:spPr>
          <c:cat>
            <c:numRef>
              <c:f>'📅 Plan Mensual Inversión'!$J$32:$J$55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'📅 Plan Mensual Inversión'!$K$32:$K$55</c:f>
              <c:numCache>
                <c:formatCode>General</c:formatCode>
                <c:ptCount val="24"/>
                <c:pt idx="0">
                  <c:v>111</c:v>
                </c:pt>
                <c:pt idx="1">
                  <c:v>122</c:v>
                </c:pt>
                <c:pt idx="2">
                  <c:v>133</c:v>
                </c:pt>
                <c:pt idx="3">
                  <c:v>155</c:v>
                </c:pt>
                <c:pt idx="4">
                  <c:v>188</c:v>
                </c:pt>
                <c:pt idx="5">
                  <c:v>210</c:v>
                </c:pt>
                <c:pt idx="6">
                  <c:v>257</c:v>
                </c:pt>
                <c:pt idx="7">
                  <c:v>290</c:v>
                </c:pt>
                <c:pt idx="8">
                  <c:v>345</c:v>
                </c:pt>
                <c:pt idx="9">
                  <c:v>400</c:v>
                </c:pt>
                <c:pt idx="10">
                  <c:v>455</c:v>
                </c:pt>
                <c:pt idx="11">
                  <c:v>565</c:v>
                </c:pt>
                <c:pt idx="12">
                  <c:v>675</c:v>
                </c:pt>
                <c:pt idx="13">
                  <c:v>815</c:v>
                </c:pt>
                <c:pt idx="14">
                  <c:v>925</c:v>
                </c:pt>
                <c:pt idx="15">
                  <c:v>1035</c:v>
                </c:pt>
                <c:pt idx="16">
                  <c:v>1145</c:v>
                </c:pt>
                <c:pt idx="17">
                  <c:v>1255</c:v>
                </c:pt>
                <c:pt idx="18">
                  <c:v>1805</c:v>
                </c:pt>
                <c:pt idx="19">
                  <c:v>2355</c:v>
                </c:pt>
                <c:pt idx="20">
                  <c:v>2980</c:v>
                </c:pt>
                <c:pt idx="21">
                  <c:v>3530</c:v>
                </c:pt>
                <c:pt idx="22">
                  <c:v>4630</c:v>
                </c:pt>
                <c:pt idx="23">
                  <c:v>5730</c:v>
                </c:pt>
              </c:numCache>
            </c:numRef>
          </c:val>
        </c:ser>
        <c:ser>
          <c:idx val="1"/>
          <c:order val="1"/>
          <c:tx>
            <c:v>Ingresos Proyectados (USD)</c:v>
          </c:tx>
          <c:spPr>
            <a:solidFill>
              <a:srgbClr val="27AE60">
                <a:alpha val="70000"/>
              </a:srgbClr>
            </a:solidFill>
            <a:ln>
              <a:solidFill>
                <a:srgbClr val="27AE60"/>
              </a:solidFill>
            </a:ln>
          </c:spPr>
          <c:cat>
            <c:numRef>
              <c:f>'📅 Plan Mensual Inversión'!$J$32:$J$55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'📅 Plan Mensual Inversión'!$L$32:$L$55</c:f>
              <c:numCache>
                <c:formatCode>General</c:formatCode>
                <c:ptCount val="24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1000</c:v>
                </c:pt>
                <c:pt idx="4">
                  <c:v>1600</c:v>
                </c:pt>
                <c:pt idx="5">
                  <c:v>2000</c:v>
                </c:pt>
                <c:pt idx="6">
                  <c:v>2400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8000</c:v>
                </c:pt>
                <c:pt idx="12">
                  <c:v>10000</c:v>
                </c:pt>
                <c:pt idx="13">
                  <c:v>12000</c:v>
                </c:pt>
                <c:pt idx="14">
                  <c:v>14000</c:v>
                </c:pt>
                <c:pt idx="15">
                  <c:v>16000</c:v>
                </c:pt>
                <c:pt idx="16">
                  <c:v>18000</c:v>
                </c:pt>
                <c:pt idx="17">
                  <c:v>20000</c:v>
                </c:pt>
                <c:pt idx="18">
                  <c:v>30000</c:v>
                </c:pt>
                <c:pt idx="19">
                  <c:v>40000</c:v>
                </c:pt>
                <c:pt idx="20">
                  <c:v>50000</c:v>
                </c:pt>
                <c:pt idx="21">
                  <c:v>60000</c:v>
                </c:pt>
                <c:pt idx="22">
                  <c:v>80000</c:v>
                </c:pt>
                <c:pt idx="23">
                  <c:v>100000</c:v>
                </c:pt>
              </c:numCache>
            </c:numRef>
          </c:val>
        </c:ser>
        <c:axId val="50040001"/>
        <c:axId val="50040002"/>
      </c:area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USD/mes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Evolución de Costos e Ingresos — 24 Meses (CLP $)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Costo Total (CLP)</c:v>
          </c:tx>
          <c:spPr>
            <a:solidFill>
              <a:srgbClr val="E74C3C">
                <a:alpha val="70000"/>
              </a:srgbClr>
            </a:solidFill>
            <a:ln>
              <a:solidFill>
                <a:srgbClr val="E74C3C"/>
              </a:solidFill>
            </a:ln>
          </c:spPr>
          <c:cat>
            <c:numRef>
              <c:f>'📅 Plan Mensual Inversión'!$J$32:$J$55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'📅 Plan Mensual Inversión'!$N$32:$N$55</c:f>
              <c:numCache>
                <c:formatCode>General</c:formatCode>
                <c:ptCount val="24"/>
                <c:pt idx="0">
                  <c:v>105450</c:v>
                </c:pt>
                <c:pt idx="1">
                  <c:v>115900</c:v>
                </c:pt>
                <c:pt idx="2">
                  <c:v>126350</c:v>
                </c:pt>
                <c:pt idx="3">
                  <c:v>147250</c:v>
                </c:pt>
                <c:pt idx="4">
                  <c:v>178600</c:v>
                </c:pt>
                <c:pt idx="5">
                  <c:v>199500</c:v>
                </c:pt>
                <c:pt idx="6">
                  <c:v>244150</c:v>
                </c:pt>
                <c:pt idx="7">
                  <c:v>275500</c:v>
                </c:pt>
                <c:pt idx="8">
                  <c:v>327750</c:v>
                </c:pt>
                <c:pt idx="9">
                  <c:v>380000</c:v>
                </c:pt>
                <c:pt idx="10">
                  <c:v>432250</c:v>
                </c:pt>
                <c:pt idx="11">
                  <c:v>536750</c:v>
                </c:pt>
                <c:pt idx="12">
                  <c:v>641250</c:v>
                </c:pt>
                <c:pt idx="13">
                  <c:v>774250</c:v>
                </c:pt>
                <c:pt idx="14">
                  <c:v>878750</c:v>
                </c:pt>
                <c:pt idx="15">
                  <c:v>983250</c:v>
                </c:pt>
                <c:pt idx="16">
                  <c:v>1087750</c:v>
                </c:pt>
                <c:pt idx="17">
                  <c:v>1192250</c:v>
                </c:pt>
                <c:pt idx="18">
                  <c:v>1714750</c:v>
                </c:pt>
                <c:pt idx="19">
                  <c:v>2237250</c:v>
                </c:pt>
                <c:pt idx="20">
                  <c:v>2831000</c:v>
                </c:pt>
                <c:pt idx="21">
                  <c:v>3353500</c:v>
                </c:pt>
                <c:pt idx="22">
                  <c:v>4398500</c:v>
                </c:pt>
                <c:pt idx="23">
                  <c:v>5443500</c:v>
                </c:pt>
              </c:numCache>
            </c:numRef>
          </c:val>
        </c:ser>
        <c:ser>
          <c:idx val="1"/>
          <c:order val="1"/>
          <c:tx>
            <c:v>Ingresos Proyectados (CLP)</c:v>
          </c:tx>
          <c:spPr>
            <a:solidFill>
              <a:srgbClr val="27AE60">
                <a:alpha val="70000"/>
              </a:srgbClr>
            </a:solidFill>
            <a:ln>
              <a:solidFill>
                <a:srgbClr val="27AE60"/>
              </a:solidFill>
            </a:ln>
          </c:spPr>
          <c:cat>
            <c:numRef>
              <c:f>'📅 Plan Mensual Inversión'!$J$32:$J$55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'📅 Plan Mensual Inversión'!$O$32:$O$55</c:f>
              <c:numCache>
                <c:formatCode>General</c:formatCode>
                <c:ptCount val="24"/>
                <c:pt idx="0">
                  <c:v>190000</c:v>
                </c:pt>
                <c:pt idx="1">
                  <c:v>380000</c:v>
                </c:pt>
                <c:pt idx="2">
                  <c:v>570000</c:v>
                </c:pt>
                <c:pt idx="3">
                  <c:v>950000</c:v>
                </c:pt>
                <c:pt idx="4">
                  <c:v>1520000</c:v>
                </c:pt>
                <c:pt idx="5">
                  <c:v>1900000</c:v>
                </c:pt>
                <c:pt idx="6">
                  <c:v>2280000</c:v>
                </c:pt>
                <c:pt idx="7">
                  <c:v>2850000</c:v>
                </c:pt>
                <c:pt idx="8">
                  <c:v>3800000</c:v>
                </c:pt>
                <c:pt idx="9">
                  <c:v>4750000</c:v>
                </c:pt>
                <c:pt idx="10">
                  <c:v>5700000</c:v>
                </c:pt>
                <c:pt idx="11">
                  <c:v>7600000</c:v>
                </c:pt>
                <c:pt idx="12">
                  <c:v>9500000</c:v>
                </c:pt>
                <c:pt idx="13">
                  <c:v>11400000</c:v>
                </c:pt>
                <c:pt idx="14">
                  <c:v>13300000</c:v>
                </c:pt>
                <c:pt idx="15">
                  <c:v>15200000</c:v>
                </c:pt>
                <c:pt idx="16">
                  <c:v>17100000</c:v>
                </c:pt>
                <c:pt idx="17">
                  <c:v>19000000</c:v>
                </c:pt>
                <c:pt idx="18">
                  <c:v>28500000</c:v>
                </c:pt>
                <c:pt idx="19">
                  <c:v>38000000</c:v>
                </c:pt>
                <c:pt idx="20">
                  <c:v>47500000</c:v>
                </c:pt>
                <c:pt idx="21">
                  <c:v>57000000</c:v>
                </c:pt>
                <c:pt idx="22">
                  <c:v>76000000</c:v>
                </c:pt>
                <c:pt idx="23">
                  <c:v>95000000</c:v>
                </c:pt>
              </c:numCache>
            </c:numRef>
          </c:val>
        </c:ser>
        <c:axId val="50050001"/>
        <c:axId val="50050002"/>
      </c:area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CLP/mes</a:t>
                </a:r>
              </a:p>
            </c:rich>
          </c:tx>
          <c:layout/>
        </c:title>
        <c:numFmt formatCode="$#,##0" sourceLinked="0"/>
        <c:tickLblPos val="nextTo"/>
        <c:crossAx val="50050001"/>
        <c:crosses val="autoZero"/>
        <c:crossBetween val="midCat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Crecimiento de Estudiantes — 24 Meses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Estudiantes</c:v>
          </c:tx>
          <c:spPr>
            <a:solidFill>
              <a:srgbClr val="33B5E5">
                <a:alpha val="30000"/>
              </a:srgbClr>
            </a:solidFill>
            <a:ln w="31750">
              <a:solidFill>
                <a:srgbClr val="0C1E3C"/>
              </a:solidFill>
            </a:ln>
          </c:spPr>
          <c:marker>
            <c:symbol val="circle"/>
            <c:size val="4"/>
            <c:spPr>
              <a:solidFill>
                <a:srgbClr val="33B5E5"/>
              </a:solidFill>
            </c:spPr>
          </c:marker>
          <c:cat>
            <c:numRef>
              <c:f>'📅 Plan Mensual Inversión'!$J$32:$J$55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'📅 Plan Mensual Inversión'!$M$32:$M$55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200</c:v>
                </c:pt>
                <c:pt idx="9">
                  <c:v>250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600</c:v>
                </c:pt>
                <c:pt idx="14">
                  <c:v>700</c:v>
                </c:pt>
                <c:pt idx="15">
                  <c:v>800</c:v>
                </c:pt>
                <c:pt idx="16">
                  <c:v>900</c:v>
                </c:pt>
                <c:pt idx="17">
                  <c:v>1000</c:v>
                </c:pt>
                <c:pt idx="18">
                  <c:v>1500</c:v>
                </c:pt>
                <c:pt idx="19">
                  <c:v>2000</c:v>
                </c:pt>
                <c:pt idx="20">
                  <c:v>2500</c:v>
                </c:pt>
                <c:pt idx="21">
                  <c:v>3000</c:v>
                </c:pt>
                <c:pt idx="22">
                  <c:v>4000</c:v>
                </c:pt>
                <c:pt idx="23">
                  <c:v>5000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Estudiantes activos</a:t>
                </a:r>
              </a:p>
            </c:rich>
          </c:tx>
          <c:layout/>
        </c:title>
        <c:numFmt formatCode="#,##0" sourceLinked="0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MRR vs Costo Total — Escalamiento Multi-Colegio (USD)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MRR (Ingresos)</c:v>
          </c:tx>
          <c:spPr>
            <a:solidFill>
              <a:srgbClr val="27AE60"/>
            </a:solidFill>
          </c:spPr>
          <c:dLbls>
            <c:numFmt formatCode="$#,##0" sourceLinked="0"/>
            <c:showVal val="1"/>
          </c:dLbls>
          <c:cat>
            <c:numRef>
              <c:f>'🏫 Modelo B2B Colegios'!$A$30:$A$37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</c:numCache>
            </c:numRef>
          </c:cat>
          <c:val>
            <c:numRef>
              <c:f>'🏫 Modelo B2B Colegios'!$B$30:$B$37</c:f>
              <c:numCache>
                <c:formatCode>General</c:formatCode>
                <c:ptCount val="8"/>
                <c:pt idx="0">
                  <c:v>2000</c:v>
                </c:pt>
                <c:pt idx="1">
                  <c:v>6000</c:v>
                </c:pt>
                <c:pt idx="2">
                  <c:v>10000</c:v>
                </c:pt>
                <c:pt idx="3">
                  <c:v>20000</c:v>
                </c:pt>
                <c:pt idx="4">
                  <c:v>45000</c:v>
                </c:pt>
                <c:pt idx="5">
                  <c:v>60000</c:v>
                </c:pt>
                <c:pt idx="6">
                  <c:v>120000</c:v>
                </c:pt>
                <c:pt idx="7">
                  <c:v>100000</c:v>
                </c:pt>
              </c:numCache>
            </c:numRef>
          </c:val>
        </c:ser>
        <c:ser>
          <c:idx val="1"/>
          <c:order val="1"/>
          <c:tx>
            <c:v>Costo Total</c:v>
          </c:tx>
          <c:spPr>
            <a:solidFill>
              <a:srgbClr val="E74C3C"/>
            </a:solidFill>
          </c:spPr>
          <c:dLbls>
            <c:numFmt formatCode="$#,##0" sourceLinked="0"/>
            <c:showVal val="1"/>
          </c:dLbls>
          <c:cat>
            <c:numRef>
              <c:f>'🏫 Modelo B2B Colegios'!$A$30:$A$37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30</c:v>
                </c:pt>
                <c:pt idx="7">
                  <c:v>50</c:v>
                </c:pt>
              </c:numCache>
            </c:numRef>
          </c:cat>
          <c:val>
            <c:numRef>
              <c:f>'🏫 Modelo B2B Colegios'!$C$30:$C$37</c:f>
              <c:numCache>
                <c:formatCode>General</c:formatCode>
                <c:ptCount val="8"/>
                <c:pt idx="0">
                  <c:v>210</c:v>
                </c:pt>
                <c:pt idx="1">
                  <c:v>455</c:v>
                </c:pt>
                <c:pt idx="2">
                  <c:v>675</c:v>
                </c:pt>
                <c:pt idx="3">
                  <c:v>1255</c:v>
                </c:pt>
                <c:pt idx="4">
                  <c:v>2705</c:v>
                </c:pt>
                <c:pt idx="5">
                  <c:v>3530</c:v>
                </c:pt>
                <c:pt idx="6">
                  <c:v>7250</c:v>
                </c:pt>
                <c:pt idx="7">
                  <c:v>5730</c:v>
                </c:pt>
              </c:numCache>
            </c:numRef>
          </c:val>
        </c:ser>
        <c:gapWidth val="50"/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Número de Colegios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USD/mes</a:t>
                </a:r>
              </a:p>
            </c:rich>
          </c:tx>
          <c:layout/>
        </c:title>
        <c:numFmt formatCode="$#,##0" sourceLinked="0"/>
        <c:tickLblPos val="nextTo"/>
        <c:crossAx val="5007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Comparación de Márgenes: Modelo Anterior vs Nuevo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Margen Antiguo (con transcripción $2/sesión)</c:v>
          </c:tx>
          <c:spPr>
            <a:solidFill>
              <a:srgbClr val="E74C3C"/>
            </a:solidFill>
          </c:spPr>
          <c:dLbls>
            <c:numFmt formatCode="0%" sourceLinked="0"/>
            <c:showVal val="1"/>
          </c:dLbls>
          <c:cat>
            <c:strRef>
              <c:f>'💼 Resumen Inversores'!$A$25:$A$29</c:f>
              <c:strCache>
                <c:ptCount val="5"/>
                <c:pt idx="0">
                  <c:v>10 est.</c:v>
                </c:pt>
                <c:pt idx="1">
                  <c:v>100 est.</c:v>
                </c:pt>
                <c:pt idx="2">
                  <c:v>500 est.</c:v>
                </c:pt>
                <c:pt idx="3">
                  <c:v>1.000 est.</c:v>
                </c:pt>
                <c:pt idx="4">
                  <c:v>5.000 est.</c:v>
                </c:pt>
              </c:strCache>
            </c:strRef>
          </c:cat>
          <c:val>
            <c:numRef>
              <c:f>'💼 Resumen Inversores'!$B$25:$B$29</c:f>
              <c:numCache>
                <c:formatCode>General</c:formatCode>
                <c:ptCount val="5"/>
                <c:pt idx="0">
                  <c:v>0</c:v>
                </c:pt>
                <c:pt idx="1">
                  <c:v>0.52</c:v>
                </c:pt>
                <c:pt idx="2">
                  <c:v>0.51</c:v>
                </c:pt>
                <c:pt idx="3">
                  <c:v>0.52</c:v>
                </c:pt>
                <c:pt idx="4">
                  <c:v>0.52</c:v>
                </c:pt>
              </c:numCache>
            </c:numRef>
          </c:val>
        </c:ser>
        <c:ser>
          <c:idx val="1"/>
          <c:order val="1"/>
          <c:tx>
            <c:v>Margen Nuevo (Google Meet Transcripción incluida)</c:v>
          </c:tx>
          <c:spPr>
            <a:solidFill>
              <a:srgbClr val="1ABC9C"/>
            </a:solidFill>
          </c:spPr>
          <c:dLbls>
            <c:numFmt formatCode="0%" sourceLinked="0"/>
            <c:showVal val="1"/>
          </c:dLbls>
          <c:cat>
            <c:strRef>
              <c:f>'💼 Resumen Inversores'!$A$25:$A$29</c:f>
              <c:strCache>
                <c:ptCount val="5"/>
                <c:pt idx="0">
                  <c:v>10 est.</c:v>
                </c:pt>
                <c:pt idx="1">
                  <c:v>100 est.</c:v>
                </c:pt>
                <c:pt idx="2">
                  <c:v>500 est.</c:v>
                </c:pt>
                <c:pt idx="3">
                  <c:v>1.000 est.</c:v>
                </c:pt>
                <c:pt idx="4">
                  <c:v>5.000 est.</c:v>
                </c:pt>
              </c:strCache>
            </c:strRef>
          </c:cat>
          <c:val>
            <c:numRef>
              <c:f>'💼 Resumen Inversores'!$C$25:$C$29</c:f>
              <c:numCache>
                <c:formatCode>General</c:formatCode>
                <c:ptCount val="5"/>
                <c:pt idx="0">
                  <c:v>0</c:v>
                </c:pt>
                <c:pt idx="1">
                  <c:v>0.895</c:v>
                </c:pt>
                <c:pt idx="2">
                  <c:v>0.9325</c:v>
                </c:pt>
                <c:pt idx="3">
                  <c:v>0.93725</c:v>
                </c:pt>
                <c:pt idx="4">
                  <c:v>0.9427</c:v>
                </c:pt>
              </c:numCache>
            </c:numRef>
          </c:val>
        </c:ser>
        <c:gapWidth val="40"/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Escala de Estudiantes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1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Margen Bruto</a:t>
                </a:r>
              </a:p>
            </c:rich>
          </c:tx>
          <c:layout/>
        </c:title>
        <c:numFmt formatCode="0%" sourceLinked="0"/>
        <c:tickLblPos val="nextTo"/>
        <c:crossAx val="5008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295275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533400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838200</xdr:colOff>
      <xdr:row>55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7</xdr:col>
      <xdr:colOff>600075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28</xdr:row>
      <xdr:rowOff>0</xdr:rowOff>
    </xdr:from>
    <xdr:to>
      <xdr:col>20</xdr:col>
      <xdr:colOff>571500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381000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4</xdr:col>
      <xdr:colOff>590550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3</xdr:col>
      <xdr:colOff>981075</xdr:colOff>
      <xdr:row>45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space.google.com/pricing" TargetMode="External"/><Relationship Id="rId2" Type="http://schemas.openxmlformats.org/officeDocument/2006/relationships/hyperlink" Target="https://supabase.com/pricing" TargetMode="External"/><Relationship Id="rId3" Type="http://schemas.openxmlformats.org/officeDocument/2006/relationships/hyperlink" Target="https://www.netlify.com/pricing" TargetMode="External"/><Relationship Id="rId4" Type="http://schemas.openxmlformats.org/officeDocument/2006/relationships/hyperlink" Target="https://www.anthropic.com/api" TargetMode="External"/><Relationship Id="rId5" Type="http://schemas.openxmlformats.org/officeDocument/2006/relationships/hyperlink" Target="https://openrouter.ai/google/gemini-2.0-flash-001" TargetMode="External"/><Relationship Id="rId6" Type="http://schemas.openxmlformats.org/officeDocument/2006/relationships/hyperlink" Target="https://sentry.io/pricing" TargetMode="External"/><Relationship Id="rId7" Type="http://schemas.openxmlformats.org/officeDocument/2006/relationships/hyperlink" Target="https://www.cloudflare.com/plans" TargetMode="External"/><Relationship Id="rId8" Type="http://schemas.openxmlformats.org/officeDocument/2006/relationships/hyperlink" Target="https://developers.google.com/calendar/api" TargetMode="External"/><Relationship Id="rId9" Type="http://schemas.openxmlformats.org/officeDocument/2006/relationships/hyperlink" Target="https://developers.google.com/drive" TargetMode="External"/><Relationship Id="rId10" Type="http://schemas.openxmlformats.org/officeDocument/2006/relationships/hyperlink" Target="https://developers.google.com/meet/api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orkspace.google.com/pricing" TargetMode="External"/><Relationship Id="rId2" Type="http://schemas.openxmlformats.org/officeDocument/2006/relationships/hyperlink" Target="https://supabase.com/pricing" TargetMode="External"/><Relationship Id="rId3" Type="http://schemas.openxmlformats.org/officeDocument/2006/relationships/hyperlink" Target="https://netlify.com/pricing" TargetMode="External"/><Relationship Id="rId4" Type="http://schemas.openxmlformats.org/officeDocument/2006/relationships/hyperlink" Target="https://openai.com/chatgpt/pricing" TargetMode="External"/><Relationship Id="rId5" Type="http://schemas.openxmlformats.org/officeDocument/2006/relationships/hyperlink" Target="https://cloudflare.com/plans" TargetMode="External"/><Relationship Id="rId6" Type="http://schemas.openxmlformats.org/officeDocument/2006/relationships/hyperlink" Target="https://workspace.google.com/pricing" TargetMode="External"/><Relationship Id="rId7" Type="http://schemas.openxmlformats.org/officeDocument/2006/relationships/hyperlink" Target="https://supabase.com/pricing" TargetMode="External"/><Relationship Id="rId8" Type="http://schemas.openxmlformats.org/officeDocument/2006/relationships/hyperlink" Target="https://netlify.com/pricing" TargetMode="External"/><Relationship Id="rId9" Type="http://schemas.openxmlformats.org/officeDocument/2006/relationships/hyperlink" Target="https://sentry.io/pricing" TargetMode="External"/><Relationship Id="rId10" Type="http://schemas.openxmlformats.org/officeDocument/2006/relationships/hyperlink" Target="https://cloudflare.com/plans" TargetMode="External"/><Relationship Id="rId11" Type="http://schemas.openxmlformats.org/officeDocument/2006/relationships/hyperlink" Target="https://workspace.google.com/pricing" TargetMode="External"/><Relationship Id="rId12" Type="http://schemas.openxmlformats.org/officeDocument/2006/relationships/hyperlink" Target="https://supabase.com/pricing" TargetMode="External"/><Relationship Id="rId13" Type="http://schemas.openxmlformats.org/officeDocument/2006/relationships/hyperlink" Target="https://netlify.com/pricing" TargetMode="External"/><Relationship Id="rId14" Type="http://schemas.openxmlformats.org/officeDocument/2006/relationships/hyperlink" Target="https://sentry.io/pricing" TargetMode="External"/><Relationship Id="rId15" Type="http://schemas.openxmlformats.org/officeDocument/2006/relationships/hyperlink" Target="https://workspace.google.com/pricing" TargetMode="External"/><Relationship Id="rId16" Type="http://schemas.openxmlformats.org/officeDocument/2006/relationships/hyperlink" Target="https://supabase.com/pricing" TargetMode="External"/><Relationship Id="rId17" Type="http://schemas.openxmlformats.org/officeDocument/2006/relationships/hyperlink" Target="https://netlify.com/pricing" TargetMode="External"/><Relationship Id="rId18" Type="http://schemas.openxmlformats.org/officeDocument/2006/relationships/hyperlink" Target="https://datadoghq.com/pricing" TargetMode="External"/><Relationship Id="rId19" Type="http://schemas.openxmlformats.org/officeDocument/2006/relationships/hyperlink" Target="https://cloudflare.com/plans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zoomScale="95" zoomScaleNormal="95" workbookViewId="0"/>
  </sheetViews>
  <sheetFormatPr defaultRowHeight="15"/>
  <cols>
    <col min="1" max="1" width="38.7109375" customWidth="1"/>
    <col min="2" max="2" width="20.7109375" customWidth="1"/>
    <col min="3" max="3" width="22.7109375" customWidth="1"/>
    <col min="4" max="4" width="40.7109375" customWidth="1"/>
  </cols>
  <sheetData>
    <row r="1" spans="1:4" ht="48" customHeight="1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3" spans="1:4" ht="14" customHeight="1">
      <c r="A3" s="3" t="s">
        <v>2</v>
      </c>
      <c r="B3" s="3"/>
      <c r="C3" s="3"/>
      <c r="D3" s="3"/>
    </row>
    <row r="4" spans="1:4" ht="24" customHeight="1"/>
    <row r="5" spans="1:4" ht="20" customHeight="1">
      <c r="A5" s="4" t="s">
        <v>3</v>
      </c>
      <c r="B5" s="4" t="s">
        <v>4</v>
      </c>
      <c r="C5" s="4" t="s">
        <v>5</v>
      </c>
      <c r="D5" s="4" t="s">
        <v>6</v>
      </c>
    </row>
    <row r="6" spans="1:4" ht="16" customHeight="1">
      <c r="A6" s="5" t="s">
        <v>7</v>
      </c>
      <c r="B6" s="6" t="s">
        <v>8</v>
      </c>
      <c r="C6" s="7" t="s">
        <v>9</v>
      </c>
      <c r="D6" s="8" t="s">
        <v>10</v>
      </c>
    </row>
    <row r="7" spans="1:4" ht="16" customHeight="1">
      <c r="A7" s="9" t="s">
        <v>11</v>
      </c>
      <c r="B7" s="10" t="s">
        <v>12</v>
      </c>
      <c r="C7" s="11" t="s">
        <v>13</v>
      </c>
      <c r="D7" s="12" t="s">
        <v>14</v>
      </c>
    </row>
    <row r="8" spans="1:4" ht="16" customHeight="1">
      <c r="A8" s="5" t="s">
        <v>15</v>
      </c>
      <c r="B8" s="6" t="s">
        <v>16</v>
      </c>
      <c r="C8" s="7" t="s">
        <v>17</v>
      </c>
      <c r="D8" s="8" t="s">
        <v>18</v>
      </c>
    </row>
    <row r="9" spans="1:4" ht="16" customHeight="1">
      <c r="A9" s="9" t="s">
        <v>19</v>
      </c>
      <c r="B9" s="10" t="s">
        <v>20</v>
      </c>
      <c r="C9" s="11" t="s">
        <v>21</v>
      </c>
      <c r="D9" s="12" t="s">
        <v>22</v>
      </c>
    </row>
    <row r="10" spans="1:4" ht="16" customHeight="1">
      <c r="A10" s="5" t="s">
        <v>23</v>
      </c>
      <c r="B10" s="6" t="s">
        <v>24</v>
      </c>
      <c r="C10" s="7" t="s">
        <v>25</v>
      </c>
      <c r="D10" s="8" t="s">
        <v>26</v>
      </c>
    </row>
    <row r="11" spans="1:4" ht="16" customHeight="1">
      <c r="A11" s="9" t="s">
        <v>27</v>
      </c>
      <c r="B11" s="10" t="s">
        <v>28</v>
      </c>
      <c r="C11" s="11" t="s">
        <v>29</v>
      </c>
      <c r="D11" s="12" t="s">
        <v>30</v>
      </c>
    </row>
    <row r="12" spans="1:4" ht="16" customHeight="1">
      <c r="A12" s="5" t="s">
        <v>31</v>
      </c>
      <c r="B12" s="6" t="s">
        <v>32</v>
      </c>
      <c r="C12" s="7" t="s">
        <v>33</v>
      </c>
      <c r="D12" s="8" t="s">
        <v>34</v>
      </c>
    </row>
    <row r="13" spans="1:4" ht="16" customHeight="1">
      <c r="A13" s="3" t="s">
        <v>39</v>
      </c>
      <c r="B13" s="3"/>
      <c r="C13" s="3"/>
      <c r="D13" s="3"/>
    </row>
    <row r="14" spans="1:4" ht="16" customHeight="1"/>
    <row r="15" spans="1:4" ht="18" customHeight="1">
      <c r="A15" s="4" t="s">
        <v>40</v>
      </c>
      <c r="B15" s="4" t="s">
        <v>41</v>
      </c>
      <c r="C15" s="4" t="s">
        <v>42</v>
      </c>
      <c r="D15" s="4" t="s">
        <v>43</v>
      </c>
    </row>
    <row r="16" spans="1:4" ht="16" customHeight="1">
      <c r="A16" s="13" t="s">
        <v>44</v>
      </c>
      <c r="B16" s="14" t="s">
        <v>45</v>
      </c>
      <c r="C16" s="15" t="s">
        <v>46</v>
      </c>
      <c r="D16" s="16" t="s">
        <v>47</v>
      </c>
    </row>
    <row r="17" spans="1:4" ht="16" customHeight="1">
      <c r="A17" s="17" t="s">
        <v>48</v>
      </c>
      <c r="B17" s="18" t="s">
        <v>45</v>
      </c>
      <c r="C17" s="19" t="s">
        <v>49</v>
      </c>
      <c r="D17" s="20" t="s">
        <v>50</v>
      </c>
    </row>
    <row r="18" spans="1:4" ht="16" customHeight="1">
      <c r="A18" s="21" t="s">
        <v>51</v>
      </c>
      <c r="B18" s="14" t="s">
        <v>52</v>
      </c>
      <c r="C18" s="15" t="s">
        <v>53</v>
      </c>
      <c r="D18" s="16" t="s">
        <v>54</v>
      </c>
    </row>
    <row r="19" spans="1:4" ht="16" customHeight="1">
      <c r="A19" s="17" t="s">
        <v>55</v>
      </c>
      <c r="B19" s="18" t="s">
        <v>56</v>
      </c>
      <c r="C19" s="19" t="s">
        <v>57</v>
      </c>
      <c r="D19" s="20" t="s">
        <v>58</v>
      </c>
    </row>
    <row r="20" spans="1:4" ht="16" customHeight="1">
      <c r="A20" s="13" t="s">
        <v>59</v>
      </c>
      <c r="B20" s="14" t="s">
        <v>56</v>
      </c>
      <c r="C20" s="15" t="s">
        <v>60</v>
      </c>
      <c r="D20" s="16" t="s">
        <v>61</v>
      </c>
    </row>
    <row r="21" spans="1:4" ht="16" customHeight="1">
      <c r="A21" s="17" t="s">
        <v>62</v>
      </c>
      <c r="B21" s="18" t="s">
        <v>56</v>
      </c>
      <c r="C21" s="19" t="s">
        <v>63</v>
      </c>
      <c r="D21" s="20" t="s">
        <v>64</v>
      </c>
    </row>
    <row r="22" spans="1:4" ht="16" customHeight="1">
      <c r="A22" s="21" t="s">
        <v>65</v>
      </c>
      <c r="B22" s="14" t="s">
        <v>66</v>
      </c>
      <c r="C22" s="15" t="s">
        <v>67</v>
      </c>
      <c r="D22" s="16" t="s">
        <v>68</v>
      </c>
    </row>
    <row r="23" spans="1:4" ht="16" customHeight="1">
      <c r="A23" s="17" t="s">
        <v>69</v>
      </c>
      <c r="B23" s="18" t="s">
        <v>56</v>
      </c>
      <c r="C23" s="19" t="s">
        <v>70</v>
      </c>
      <c r="D23" s="20" t="s">
        <v>71</v>
      </c>
    </row>
    <row r="24" spans="1:4" ht="16" customHeight="1">
      <c r="A24" s="22" t="s">
        <v>72</v>
      </c>
      <c r="B24" s="23" t="s">
        <v>73</v>
      </c>
      <c r="C24" s="24" t="s">
        <v>74</v>
      </c>
      <c r="D24" s="25" t="s">
        <v>75</v>
      </c>
    </row>
    <row r="26" spans="1:4" ht="28" customHeight="1">
      <c r="A26" s="26" t="s">
        <v>76</v>
      </c>
      <c r="B26" s="26"/>
      <c r="C26" s="26"/>
      <c r="D26" s="26"/>
    </row>
    <row r="28" spans="1:4">
      <c r="A28" s="3" t="s">
        <v>77</v>
      </c>
      <c r="B28" s="3"/>
      <c r="C28" s="3"/>
      <c r="D28" s="3"/>
    </row>
    <row r="29" spans="1:4">
      <c r="A29" s="4" t="s">
        <v>78</v>
      </c>
      <c r="B29" s="4" t="s">
        <v>79</v>
      </c>
      <c r="C29" s="4" t="s">
        <v>80</v>
      </c>
      <c r="D29" s="4" t="s">
        <v>81</v>
      </c>
    </row>
    <row r="30" spans="1:4" ht="16" customHeight="1">
      <c r="A30" s="5" t="s">
        <v>82</v>
      </c>
      <c r="B30" s="5" t="s">
        <v>83</v>
      </c>
      <c r="C30" s="6" t="s">
        <v>84</v>
      </c>
      <c r="D30" s="27" t="s">
        <v>85</v>
      </c>
    </row>
    <row r="31" spans="1:4" ht="16" customHeight="1">
      <c r="A31" s="9" t="s">
        <v>86</v>
      </c>
      <c r="B31" s="9" t="s">
        <v>87</v>
      </c>
      <c r="C31" s="10" t="s">
        <v>88</v>
      </c>
      <c r="D31" s="28" t="s">
        <v>89</v>
      </c>
    </row>
    <row r="32" spans="1:4" ht="16" customHeight="1">
      <c r="A32" s="5" t="s">
        <v>90</v>
      </c>
      <c r="B32" s="5" t="s">
        <v>91</v>
      </c>
      <c r="C32" s="6" t="s">
        <v>92</v>
      </c>
      <c r="D32" s="27" t="s">
        <v>93</v>
      </c>
    </row>
    <row r="33" spans="1:4" ht="16" customHeight="1">
      <c r="A33" s="9" t="s">
        <v>94</v>
      </c>
      <c r="B33" s="9" t="s">
        <v>95</v>
      </c>
      <c r="C33" s="10" t="s">
        <v>96</v>
      </c>
      <c r="D33" s="28" t="s">
        <v>97</v>
      </c>
    </row>
    <row r="34" spans="1:4" ht="16" customHeight="1">
      <c r="A34" s="5" t="s">
        <v>98</v>
      </c>
      <c r="B34" s="5" t="s">
        <v>99</v>
      </c>
      <c r="C34" s="6" t="s">
        <v>100</v>
      </c>
      <c r="D34" s="27" t="s">
        <v>101</v>
      </c>
    </row>
    <row r="35" spans="1:4" ht="16" customHeight="1">
      <c r="A35" s="9" t="s">
        <v>102</v>
      </c>
      <c r="B35" s="9" t="s">
        <v>103</v>
      </c>
      <c r="C35" s="10" t="s">
        <v>104</v>
      </c>
      <c r="D35" s="28" t="s">
        <v>105</v>
      </c>
    </row>
    <row r="36" spans="1:4" ht="16" customHeight="1">
      <c r="A36" s="5" t="s">
        <v>106</v>
      </c>
      <c r="B36" s="5" t="s">
        <v>107</v>
      </c>
      <c r="C36" s="6" t="s">
        <v>108</v>
      </c>
      <c r="D36" s="27" t="s">
        <v>109</v>
      </c>
    </row>
    <row r="37" spans="1:4" ht="16" customHeight="1">
      <c r="A37" s="9" t="s">
        <v>110</v>
      </c>
      <c r="B37" s="9" t="s">
        <v>111</v>
      </c>
      <c r="C37" s="10" t="s">
        <v>112</v>
      </c>
      <c r="D37" s="28" t="s">
        <v>113</v>
      </c>
    </row>
    <row r="38" spans="1:4" ht="16" customHeight="1">
      <c r="A38" s="5" t="s">
        <v>114</v>
      </c>
      <c r="B38" s="5" t="s">
        <v>111</v>
      </c>
      <c r="C38" s="6" t="s">
        <v>112</v>
      </c>
      <c r="D38" s="27" t="s">
        <v>115</v>
      </c>
    </row>
    <row r="39" spans="1:4" ht="16" customHeight="1">
      <c r="A39" s="9" t="s">
        <v>116</v>
      </c>
      <c r="B39" s="9" t="s">
        <v>117</v>
      </c>
      <c r="C39" s="10" t="s">
        <v>112</v>
      </c>
      <c r="D39" s="28" t="s">
        <v>118</v>
      </c>
    </row>
  </sheetData>
  <mergeCells count="6">
    <mergeCell ref="A1:D1"/>
    <mergeCell ref="A2:D2"/>
    <mergeCell ref="A3:D3"/>
    <mergeCell ref="A13:D13"/>
    <mergeCell ref="A26:D26"/>
    <mergeCell ref="A28:D28"/>
  </mergeCells>
  <hyperlinks>
    <hyperlink ref="D30" r:id="rId1"/>
    <hyperlink ref="D31" r:id="rId2"/>
    <hyperlink ref="D32" r:id="rId3"/>
    <hyperlink ref="D33" r:id="rId4"/>
    <hyperlink ref="D34" r:id="rId5"/>
    <hyperlink ref="D35" r:id="rId6"/>
    <hyperlink ref="D36" r:id="rId7"/>
    <hyperlink ref="D37" r:id="rId8"/>
    <hyperlink ref="D38" r:id="rId9"/>
    <hyperlink ref="D39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zoomScale="85" zoomScaleNormal="85" workbookViewId="0"/>
  </sheetViews>
  <sheetFormatPr defaultRowHeight="15"/>
  <cols>
    <col min="1" max="1" width="22.7109375" customWidth="1"/>
    <col min="2" max="2" width="3.7109375" customWidth="1"/>
    <col min="3" max="3" width="22.7109375" customWidth="1"/>
    <col min="4" max="4" width="3.7109375" customWidth="1"/>
    <col min="5" max="5" width="22.7109375" customWidth="1"/>
    <col min="6" max="6" width="3.7109375" customWidth="1"/>
    <col min="7" max="7" width="22.7109375" customWidth="1"/>
    <col min="8" max="8" width="3.7109375" customWidth="1"/>
    <col min="9" max="9" width="22.7109375" customWidth="1"/>
  </cols>
  <sheetData>
    <row r="1" spans="1:9" ht="48" customHeight="1">
      <c r="A1" s="1" t="s">
        <v>119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120</v>
      </c>
      <c r="B2" s="2"/>
      <c r="C2" s="2"/>
      <c r="D2" s="2"/>
      <c r="E2" s="2"/>
      <c r="F2" s="2"/>
      <c r="G2" s="2"/>
      <c r="H2" s="2"/>
      <c r="I2" s="2"/>
    </row>
    <row r="3" spans="1:9" ht="14" customHeight="1"/>
    <row r="4" spans="1:9" ht="18" customHeight="1">
      <c r="A4" s="29" t="s">
        <v>121</v>
      </c>
      <c r="C4" s="30" t="s">
        <v>122</v>
      </c>
      <c r="E4" s="31" t="s">
        <v>123</v>
      </c>
      <c r="G4" s="32" t="s">
        <v>124</v>
      </c>
    </row>
    <row r="5" spans="1:9" ht="14" customHeight="1"/>
    <row r="6" spans="1:9" ht="52" customHeight="1">
      <c r="A6" s="33" t="s">
        <v>125</v>
      </c>
      <c r="B6" s="34" t="s">
        <v>126</v>
      </c>
      <c r="C6" s="33" t="s">
        <v>127</v>
      </c>
      <c r="D6" s="34" t="s">
        <v>126</v>
      </c>
      <c r="E6" s="33" t="s">
        <v>128</v>
      </c>
      <c r="F6" s="34" t="s">
        <v>126</v>
      </c>
      <c r="G6" s="33" t="s">
        <v>129</v>
      </c>
      <c r="H6" s="34" t="s">
        <v>126</v>
      </c>
      <c r="I6" s="33" t="s">
        <v>130</v>
      </c>
    </row>
    <row r="7" spans="1:9" ht="12" customHeight="1"/>
    <row r="8" spans="1:9" ht="16" customHeight="1">
      <c r="A8" s="35" t="s">
        <v>151</v>
      </c>
      <c r="B8" s="35"/>
      <c r="C8" s="35"/>
      <c r="D8" s="35"/>
      <c r="E8" s="35"/>
      <c r="F8" s="35"/>
      <c r="G8" s="35"/>
      <c r="H8" s="35"/>
      <c r="I8" s="35"/>
    </row>
    <row r="9" spans="1:9" ht="52" customHeight="1">
      <c r="A9" s="36" t="s">
        <v>131</v>
      </c>
      <c r="B9" s="34" t="s">
        <v>126</v>
      </c>
      <c r="C9" s="36" t="s">
        <v>132</v>
      </c>
      <c r="D9" s="34" t="s">
        <v>126</v>
      </c>
      <c r="E9" s="37" t="s">
        <v>133</v>
      </c>
      <c r="F9" s="34" t="s">
        <v>126</v>
      </c>
      <c r="G9" s="37" t="s">
        <v>134</v>
      </c>
      <c r="H9" s="34" t="s">
        <v>126</v>
      </c>
      <c r="I9" s="38" t="s">
        <v>135</v>
      </c>
    </row>
    <row r="10" spans="1:9" ht="12" customHeight="1"/>
    <row r="11" spans="1:9" ht="16" customHeight="1">
      <c r="A11" s="35" t="s">
        <v>152</v>
      </c>
      <c r="B11" s="35"/>
      <c r="C11" s="35"/>
      <c r="D11" s="35"/>
      <c r="E11" s="35"/>
      <c r="F11" s="35"/>
      <c r="G11" s="35"/>
      <c r="H11" s="35"/>
      <c r="I11" s="35"/>
    </row>
    <row r="12" spans="1:9" ht="52" customHeight="1">
      <c r="A12" s="37" t="s">
        <v>136</v>
      </c>
      <c r="B12" s="34" t="s">
        <v>126</v>
      </c>
      <c r="C12" s="37" t="s">
        <v>137</v>
      </c>
      <c r="D12" s="34" t="s">
        <v>126</v>
      </c>
      <c r="E12" s="36" t="s">
        <v>138</v>
      </c>
      <c r="F12" s="34" t="s">
        <v>126</v>
      </c>
      <c r="G12" s="33" t="s">
        <v>139</v>
      </c>
      <c r="H12" s="34" t="s">
        <v>126</v>
      </c>
      <c r="I12" s="37" t="s">
        <v>140</v>
      </c>
    </row>
    <row r="13" spans="1:9" ht="12" customHeight="1"/>
    <row r="14" spans="1:9" ht="16" customHeight="1">
      <c r="A14" s="35" t="s">
        <v>153</v>
      </c>
      <c r="B14" s="35"/>
      <c r="C14" s="35"/>
      <c r="D14" s="35"/>
      <c r="E14" s="35"/>
      <c r="F14" s="35"/>
      <c r="G14" s="35"/>
      <c r="H14" s="35"/>
      <c r="I14" s="35"/>
    </row>
    <row r="15" spans="1:9" ht="52" customHeight="1">
      <c r="A15" s="37" t="s">
        <v>141</v>
      </c>
      <c r="B15" s="34" t="s">
        <v>126</v>
      </c>
      <c r="C15" s="38" t="s">
        <v>142</v>
      </c>
      <c r="D15" s="34" t="s">
        <v>126</v>
      </c>
      <c r="E15" s="38" t="s">
        <v>143</v>
      </c>
      <c r="F15" s="34" t="s">
        <v>126</v>
      </c>
      <c r="G15" s="38" t="s">
        <v>144</v>
      </c>
      <c r="H15" s="34" t="s">
        <v>126</v>
      </c>
      <c r="I15" s="37" t="s">
        <v>145</v>
      </c>
    </row>
    <row r="16" spans="1:9" ht="12" customHeight="1"/>
    <row r="17" spans="1:9" ht="16" customHeight="1">
      <c r="A17" s="35" t="s">
        <v>154</v>
      </c>
      <c r="B17" s="35"/>
      <c r="C17" s="35"/>
      <c r="D17" s="35"/>
      <c r="E17" s="35"/>
      <c r="F17" s="35"/>
      <c r="G17" s="35"/>
      <c r="H17" s="35"/>
      <c r="I17" s="35"/>
    </row>
    <row r="18" spans="1:9" ht="52" customHeight="1">
      <c r="A18" s="38" t="s">
        <v>146</v>
      </c>
      <c r="B18" s="34" t="s">
        <v>126</v>
      </c>
      <c r="C18" s="37" t="s">
        <v>147</v>
      </c>
      <c r="D18" s="34" t="s">
        <v>126</v>
      </c>
      <c r="E18" s="38" t="s">
        <v>148</v>
      </c>
      <c r="F18" s="34" t="s">
        <v>126</v>
      </c>
      <c r="G18" s="38" t="s">
        <v>149</v>
      </c>
      <c r="H18" s="34" t="s">
        <v>126</v>
      </c>
      <c r="I18" s="38" t="s">
        <v>150</v>
      </c>
    </row>
    <row r="19" spans="1:9" ht="12" customHeight="1"/>
    <row r="20" spans="1:9" ht="12" customHeight="1">
      <c r="A20" s="3" t="s">
        <v>155</v>
      </c>
      <c r="B20" s="3"/>
      <c r="C20" s="3"/>
      <c r="D20" s="3"/>
    </row>
    <row r="21" spans="1:9" ht="16" customHeight="1">
      <c r="A21" s="39" t="s">
        <v>156</v>
      </c>
      <c r="B21" s="39"/>
      <c r="C21" s="39"/>
      <c r="D21" s="39"/>
      <c r="E21" s="39"/>
    </row>
    <row r="22" spans="1:9" ht="16" customHeight="1">
      <c r="A22" s="40" t="s">
        <v>157</v>
      </c>
      <c r="B22" s="40"/>
      <c r="C22" s="40"/>
      <c r="D22" s="40"/>
      <c r="E22" s="40"/>
    </row>
    <row r="23" spans="1:9" ht="16" customHeight="1">
      <c r="A23" s="40" t="s">
        <v>158</v>
      </c>
      <c r="B23" s="40"/>
      <c r="C23" s="40"/>
      <c r="D23" s="40"/>
      <c r="E23" s="40"/>
    </row>
    <row r="24" spans="1:9" ht="16" customHeight="1">
      <c r="A24" s="40" t="s">
        <v>159</v>
      </c>
      <c r="B24" s="40"/>
      <c r="C24" s="40"/>
      <c r="D24" s="40"/>
      <c r="E24" s="40"/>
    </row>
    <row r="25" spans="1:9" ht="16" customHeight="1">
      <c r="A25" s="40" t="s">
        <v>160</v>
      </c>
      <c r="B25" s="40"/>
      <c r="C25" s="40"/>
      <c r="D25" s="40"/>
      <c r="E25" s="40"/>
    </row>
  </sheetData>
  <mergeCells count="12">
    <mergeCell ref="A1:I1"/>
    <mergeCell ref="A2:I2"/>
    <mergeCell ref="A8:I8"/>
    <mergeCell ref="A11:I11"/>
    <mergeCell ref="A14:I14"/>
    <mergeCell ref="A17:I17"/>
    <mergeCell ref="A20:D20"/>
    <mergeCell ref="A21:E21"/>
    <mergeCell ref="A22:E22"/>
    <mergeCell ref="A23:E23"/>
    <mergeCell ref="A24:E24"/>
    <mergeCell ref="A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3"/>
  <sheetViews>
    <sheetView zoomScale="90" zoomScaleNormal="90" workbookViewId="0"/>
  </sheetViews>
  <sheetFormatPr defaultRowHeight="15"/>
  <cols>
    <col min="1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</cols>
  <sheetData>
    <row r="1" spans="1:9" ht="48" customHeight="1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spans="1:9" ht="14" customHeight="1"/>
    <row r="3" spans="1:9" ht="18" customHeight="1">
      <c r="B3" s="4" t="s">
        <v>162</v>
      </c>
      <c r="C3" s="4"/>
      <c r="D3" s="4" t="s">
        <v>163</v>
      </c>
      <c r="E3" s="4"/>
      <c r="F3" s="4" t="s">
        <v>164</v>
      </c>
      <c r="G3" s="4"/>
      <c r="H3" s="4" t="s">
        <v>165</v>
      </c>
      <c r="I3" s="4"/>
    </row>
    <row r="4" spans="1:9" ht="16" customHeight="1">
      <c r="A4" s="4"/>
      <c r="B4" s="41" t="s">
        <v>166</v>
      </c>
      <c r="C4" s="42" t="s">
        <v>167</v>
      </c>
      <c r="D4" s="41" t="s">
        <v>166</v>
      </c>
      <c r="E4" s="42" t="s">
        <v>167</v>
      </c>
      <c r="F4" s="41" t="s">
        <v>166</v>
      </c>
      <c r="G4" s="42" t="s">
        <v>167</v>
      </c>
      <c r="H4" s="41" t="s">
        <v>166</v>
      </c>
      <c r="I4" s="42" t="s">
        <v>167</v>
      </c>
    </row>
    <row r="5" spans="1:9" ht="18" customHeight="1">
      <c r="A5" s="43">
        <v>10</v>
      </c>
      <c r="B5" s="44">
        <v>8</v>
      </c>
      <c r="C5" s="45">
        <v>7600</v>
      </c>
      <c r="D5" s="44">
        <v>3</v>
      </c>
      <c r="E5" s="45">
        <v>2850</v>
      </c>
      <c r="F5" s="44">
        <v>100</v>
      </c>
      <c r="G5" s="45">
        <v>95000</v>
      </c>
      <c r="H5" s="46">
        <v>111</v>
      </c>
      <c r="I5" s="47">
        <v>105450</v>
      </c>
    </row>
    <row r="6" spans="1:9" ht="18" customHeight="1">
      <c r="A6" s="48">
        <v>30</v>
      </c>
      <c r="B6" s="49">
        <v>24</v>
      </c>
      <c r="C6" s="50">
        <v>22800</v>
      </c>
      <c r="D6" s="49">
        <v>9</v>
      </c>
      <c r="E6" s="50">
        <v>8550</v>
      </c>
      <c r="F6" s="49">
        <v>100</v>
      </c>
      <c r="G6" s="50">
        <v>95000</v>
      </c>
      <c r="H6" s="46">
        <v>133</v>
      </c>
      <c r="I6" s="47">
        <v>126350</v>
      </c>
    </row>
    <row r="7" spans="1:9" ht="18" customHeight="1">
      <c r="A7" s="43">
        <v>50</v>
      </c>
      <c r="B7" s="44">
        <v>40</v>
      </c>
      <c r="C7" s="45">
        <v>38000</v>
      </c>
      <c r="D7" s="44">
        <v>15</v>
      </c>
      <c r="E7" s="45">
        <v>14250</v>
      </c>
      <c r="F7" s="44">
        <v>100</v>
      </c>
      <c r="G7" s="45">
        <v>95000</v>
      </c>
      <c r="H7" s="46">
        <v>155</v>
      </c>
      <c r="I7" s="47">
        <v>147250</v>
      </c>
    </row>
    <row r="8" spans="1:9" ht="18" customHeight="1">
      <c r="A8" s="48">
        <v>100</v>
      </c>
      <c r="B8" s="49">
        <v>80</v>
      </c>
      <c r="C8" s="50">
        <v>76000</v>
      </c>
      <c r="D8" s="49">
        <v>30</v>
      </c>
      <c r="E8" s="50">
        <v>28500</v>
      </c>
      <c r="F8" s="49">
        <v>100</v>
      </c>
      <c r="G8" s="50">
        <v>95000</v>
      </c>
      <c r="H8" s="46">
        <v>210</v>
      </c>
      <c r="I8" s="47">
        <v>199500</v>
      </c>
    </row>
    <row r="9" spans="1:9" ht="18" customHeight="1">
      <c r="A9" s="43">
        <v>200</v>
      </c>
      <c r="B9" s="44">
        <v>160</v>
      </c>
      <c r="C9" s="45">
        <v>152000</v>
      </c>
      <c r="D9" s="44">
        <v>60</v>
      </c>
      <c r="E9" s="45">
        <v>57000</v>
      </c>
      <c r="F9" s="44">
        <v>125</v>
      </c>
      <c r="G9" s="45">
        <v>118750</v>
      </c>
      <c r="H9" s="46">
        <v>345</v>
      </c>
      <c r="I9" s="47">
        <v>327750</v>
      </c>
    </row>
    <row r="10" spans="1:9" ht="18" customHeight="1">
      <c r="A10" s="48">
        <v>500</v>
      </c>
      <c r="B10" s="49">
        <v>400</v>
      </c>
      <c r="C10" s="50">
        <v>380000</v>
      </c>
      <c r="D10" s="49">
        <v>150</v>
      </c>
      <c r="E10" s="50">
        <v>142500</v>
      </c>
      <c r="F10" s="49">
        <v>125</v>
      </c>
      <c r="G10" s="50">
        <v>118750</v>
      </c>
      <c r="H10" s="46">
        <v>675</v>
      </c>
      <c r="I10" s="47">
        <v>641250</v>
      </c>
    </row>
    <row r="11" spans="1:9" ht="18" customHeight="1">
      <c r="A11" s="43">
        <v>1000</v>
      </c>
      <c r="B11" s="44">
        <v>800</v>
      </c>
      <c r="C11" s="45">
        <v>760000</v>
      </c>
      <c r="D11" s="44">
        <v>300</v>
      </c>
      <c r="E11" s="45">
        <v>285000</v>
      </c>
      <c r="F11" s="44">
        <v>155</v>
      </c>
      <c r="G11" s="45">
        <v>147250</v>
      </c>
      <c r="H11" s="46">
        <v>1255</v>
      </c>
      <c r="I11" s="47">
        <v>1192250</v>
      </c>
    </row>
    <row r="12" spans="1:9" ht="18" customHeight="1">
      <c r="A12" s="48">
        <v>5000</v>
      </c>
      <c r="B12" s="49">
        <v>4000</v>
      </c>
      <c r="C12" s="50">
        <v>3800000</v>
      </c>
      <c r="D12" s="49">
        <v>1500</v>
      </c>
      <c r="E12" s="50">
        <v>1425000</v>
      </c>
      <c r="F12" s="49">
        <v>230</v>
      </c>
      <c r="G12" s="50">
        <v>218500</v>
      </c>
      <c r="H12" s="46">
        <v>5730</v>
      </c>
      <c r="I12" s="47">
        <v>5443500</v>
      </c>
    </row>
    <row r="13" spans="1:9" ht="14" customHeight="1"/>
    <row r="14" spans="1:9">
      <c r="A14" s="3" t="s">
        <v>168</v>
      </c>
      <c r="B14" s="3"/>
      <c r="C14" s="3"/>
      <c r="D14" s="3"/>
      <c r="E14" s="3"/>
      <c r="F14" s="3"/>
      <c r="G14" s="3"/>
      <c r="H14" s="3"/>
      <c r="I14" s="3"/>
    </row>
    <row r="15" spans="1:9" ht="16" customHeight="1">
      <c r="A15" s="4" t="s">
        <v>169</v>
      </c>
      <c r="B15" s="4" t="s">
        <v>170</v>
      </c>
      <c r="C15" s="4" t="s">
        <v>171</v>
      </c>
      <c r="D15" s="4" t="s">
        <v>172</v>
      </c>
      <c r="E15" s="4" t="s">
        <v>173</v>
      </c>
      <c r="F15" s="4" t="s">
        <v>174</v>
      </c>
      <c r="G15" s="4" t="s">
        <v>175</v>
      </c>
      <c r="H15" s="4" t="s">
        <v>176</v>
      </c>
      <c r="I15" s="4" t="s">
        <v>177</v>
      </c>
    </row>
    <row r="16" spans="1:9" ht="18" customHeight="1">
      <c r="A16" s="43">
        <v>10</v>
      </c>
      <c r="B16" s="44">
        <v>11.1</v>
      </c>
      <c r="C16" s="45">
        <v>10545</v>
      </c>
      <c r="D16" s="51">
        <v>200</v>
      </c>
      <c r="E16" s="45">
        <v>190000</v>
      </c>
      <c r="F16" s="51">
        <v>89</v>
      </c>
      <c r="G16" s="45">
        <v>84550</v>
      </c>
      <c r="H16" s="52">
        <v>0.445</v>
      </c>
      <c r="I16" s="53" t="s">
        <v>178</v>
      </c>
    </row>
    <row r="17" spans="1:9" ht="18" customHeight="1">
      <c r="A17" s="48">
        <v>30</v>
      </c>
      <c r="B17" s="49">
        <v>4.433333333333334</v>
      </c>
      <c r="C17" s="50">
        <v>4211.666666666667</v>
      </c>
      <c r="D17" s="54">
        <v>600</v>
      </c>
      <c r="E17" s="50">
        <v>570000</v>
      </c>
      <c r="F17" s="54">
        <v>467</v>
      </c>
      <c r="G17" s="50">
        <v>443650</v>
      </c>
      <c r="H17" s="55">
        <v>0.7783333333333333</v>
      </c>
      <c r="I17" s="56" t="s">
        <v>178</v>
      </c>
    </row>
    <row r="18" spans="1:9" ht="18" customHeight="1">
      <c r="A18" s="43">
        <v>50</v>
      </c>
      <c r="B18" s="44">
        <v>3.1</v>
      </c>
      <c r="C18" s="45">
        <v>2945</v>
      </c>
      <c r="D18" s="51">
        <v>1000</v>
      </c>
      <c r="E18" s="45">
        <v>950000</v>
      </c>
      <c r="F18" s="51">
        <v>845</v>
      </c>
      <c r="G18" s="45">
        <v>802750</v>
      </c>
      <c r="H18" s="55">
        <v>0.845</v>
      </c>
      <c r="I18" s="53" t="s">
        <v>179</v>
      </c>
    </row>
    <row r="19" spans="1:9" ht="18" customHeight="1">
      <c r="A19" s="48">
        <v>100</v>
      </c>
      <c r="B19" s="49">
        <v>2.1</v>
      </c>
      <c r="C19" s="50">
        <v>1995</v>
      </c>
      <c r="D19" s="54">
        <v>2000</v>
      </c>
      <c r="E19" s="50">
        <v>1900000</v>
      </c>
      <c r="F19" s="54">
        <v>1790</v>
      </c>
      <c r="G19" s="50">
        <v>1700500</v>
      </c>
      <c r="H19" s="55">
        <v>0.895</v>
      </c>
      <c r="I19" s="56" t="s">
        <v>179</v>
      </c>
    </row>
    <row r="20" spans="1:9" ht="18" customHeight="1">
      <c r="A20" s="43">
        <v>200</v>
      </c>
      <c r="B20" s="44">
        <v>1.725</v>
      </c>
      <c r="C20" s="45">
        <v>1638.75</v>
      </c>
      <c r="D20" s="51">
        <v>4000</v>
      </c>
      <c r="E20" s="45">
        <v>3800000</v>
      </c>
      <c r="F20" s="51">
        <v>3655</v>
      </c>
      <c r="G20" s="45">
        <v>3472250</v>
      </c>
      <c r="H20" s="55">
        <v>0.91375</v>
      </c>
      <c r="I20" s="53" t="s">
        <v>180</v>
      </c>
    </row>
    <row r="21" spans="1:9" ht="18" customHeight="1">
      <c r="A21" s="48">
        <v>500</v>
      </c>
      <c r="B21" s="49">
        <v>1.35</v>
      </c>
      <c r="C21" s="50">
        <v>1282.5</v>
      </c>
      <c r="D21" s="54">
        <v>10000</v>
      </c>
      <c r="E21" s="50">
        <v>9500000</v>
      </c>
      <c r="F21" s="54">
        <v>9325</v>
      </c>
      <c r="G21" s="50">
        <v>8858750</v>
      </c>
      <c r="H21" s="55">
        <v>0.9325</v>
      </c>
      <c r="I21" s="56" t="s">
        <v>180</v>
      </c>
    </row>
    <row r="22" spans="1:9" ht="18" customHeight="1">
      <c r="A22" s="43">
        <v>1000</v>
      </c>
      <c r="B22" s="44">
        <v>1.255</v>
      </c>
      <c r="C22" s="45">
        <v>1192.25</v>
      </c>
      <c r="D22" s="51">
        <v>20000</v>
      </c>
      <c r="E22" s="45">
        <v>19000000</v>
      </c>
      <c r="F22" s="51">
        <v>18745</v>
      </c>
      <c r="G22" s="45">
        <v>17807750</v>
      </c>
      <c r="H22" s="55">
        <v>0.93725</v>
      </c>
      <c r="I22" s="53" t="s">
        <v>181</v>
      </c>
    </row>
    <row r="23" spans="1:9" ht="18" customHeight="1">
      <c r="A23" s="48">
        <v>5000</v>
      </c>
      <c r="B23" s="49">
        <v>1.146</v>
      </c>
      <c r="C23" s="50">
        <v>1088.7</v>
      </c>
      <c r="D23" s="54">
        <v>100000</v>
      </c>
      <c r="E23" s="50">
        <v>95000000</v>
      </c>
      <c r="F23" s="54">
        <v>94270</v>
      </c>
      <c r="G23" s="50">
        <v>89556500</v>
      </c>
      <c r="H23" s="55">
        <v>0.9427</v>
      </c>
      <c r="I23" s="56" t="s">
        <v>181</v>
      </c>
    </row>
  </sheetData>
  <mergeCells count="6">
    <mergeCell ref="A1:I1"/>
    <mergeCell ref="B3:C3"/>
    <mergeCell ref="D3:E3"/>
    <mergeCell ref="F3:G3"/>
    <mergeCell ref="H3:I3"/>
    <mergeCell ref="A14:I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zoomScale="90" zoomScaleNormal="90" workbookViewId="0"/>
  </sheetViews>
  <sheetFormatPr defaultRowHeight="15"/>
  <cols>
    <col min="1" max="1" width="34.7109375" customWidth="1"/>
    <col min="2" max="2" width="22.7109375" customWidth="1"/>
    <col min="3" max="3" width="14.7109375" customWidth="1"/>
    <col min="4" max="4" width="16.7109375" customWidth="1"/>
    <col min="5" max="5" width="36.7109375" customWidth="1"/>
  </cols>
  <sheetData>
    <row r="1" spans="1:5" ht="48" customHeight="1">
      <c r="A1" s="1" t="s">
        <v>182</v>
      </c>
      <c r="B1" s="1"/>
      <c r="C1" s="1"/>
      <c r="D1" s="1"/>
      <c r="E1" s="1"/>
    </row>
    <row r="2" spans="1:5" ht="14" customHeight="1">
      <c r="A2" s="57" t="s">
        <v>183</v>
      </c>
      <c r="B2" s="57"/>
      <c r="C2" s="57"/>
      <c r="D2" s="57"/>
      <c r="E2" s="57"/>
    </row>
    <row r="3" spans="1:5" ht="36" customHeight="1"/>
    <row r="4" spans="1:5" ht="20" customHeight="1">
      <c r="A4" s="3" t="s">
        <v>184</v>
      </c>
      <c r="B4" s="3"/>
      <c r="C4" s="3"/>
      <c r="D4" s="3"/>
      <c r="E4" s="3"/>
    </row>
    <row r="5" spans="1:5" ht="16" customHeight="1">
      <c r="A5" s="4" t="s">
        <v>78</v>
      </c>
      <c r="B5" s="4" t="s">
        <v>185</v>
      </c>
      <c r="C5" s="4" t="s">
        <v>80</v>
      </c>
      <c r="D5" s="4" t="s">
        <v>186</v>
      </c>
      <c r="E5" s="4" t="s">
        <v>187</v>
      </c>
    </row>
    <row r="6" spans="1:5" ht="16" customHeight="1">
      <c r="A6" s="58" t="s">
        <v>188</v>
      </c>
      <c r="B6" s="58" t="s">
        <v>189</v>
      </c>
      <c r="C6" s="59" t="s">
        <v>84</v>
      </c>
      <c r="D6" s="60" t="s">
        <v>190</v>
      </c>
      <c r="E6" s="61" t="s">
        <v>191</v>
      </c>
    </row>
    <row r="7" spans="1:5" ht="16" customHeight="1">
      <c r="A7" s="62" t="s">
        <v>192</v>
      </c>
      <c r="B7" s="62" t="s">
        <v>193</v>
      </c>
      <c r="C7" s="63" t="s">
        <v>112</v>
      </c>
      <c r="D7" s="64" t="s">
        <v>194</v>
      </c>
      <c r="E7" s="65" t="s">
        <v>195</v>
      </c>
    </row>
    <row r="8" spans="1:5" ht="16" customHeight="1">
      <c r="A8" s="58" t="s">
        <v>196</v>
      </c>
      <c r="B8" s="58" t="s">
        <v>193</v>
      </c>
      <c r="C8" s="59" t="s">
        <v>112</v>
      </c>
      <c r="D8" s="60" t="s">
        <v>194</v>
      </c>
      <c r="E8" s="61" t="s">
        <v>197</v>
      </c>
    </row>
    <row r="9" spans="1:5" ht="16" customHeight="1">
      <c r="A9" s="62" t="s">
        <v>198</v>
      </c>
      <c r="B9" s="62" t="s">
        <v>199</v>
      </c>
      <c r="C9" s="63" t="s">
        <v>200</v>
      </c>
      <c r="D9" s="64" t="s">
        <v>201</v>
      </c>
      <c r="E9" s="62" t="s">
        <v>202</v>
      </c>
    </row>
    <row r="10" spans="1:5" ht="16" customHeight="1">
      <c r="A10" s="58" t="s">
        <v>203</v>
      </c>
      <c r="B10" s="58" t="s">
        <v>199</v>
      </c>
      <c r="C10" s="59" t="s">
        <v>200</v>
      </c>
      <c r="D10" s="60" t="s">
        <v>201</v>
      </c>
      <c r="E10" s="61" t="s">
        <v>204</v>
      </c>
    </row>
    <row r="11" spans="1:5" ht="16" customHeight="1">
      <c r="A11" s="62" t="s">
        <v>205</v>
      </c>
      <c r="B11" s="62" t="s">
        <v>206</v>
      </c>
      <c r="C11" s="63" t="s">
        <v>207</v>
      </c>
      <c r="D11" s="64" t="s">
        <v>208</v>
      </c>
      <c r="E11" s="65" t="s">
        <v>209</v>
      </c>
    </row>
    <row r="12" spans="1:5" ht="16" customHeight="1">
      <c r="A12" s="66" t="s">
        <v>210</v>
      </c>
      <c r="B12" s="66"/>
      <c r="C12" s="24" t="s">
        <v>211</v>
      </c>
      <c r="D12" s="24" t="s">
        <v>212</v>
      </c>
      <c r="E12" s="66"/>
    </row>
    <row r="13" spans="1:5" ht="16" customHeight="1">
      <c r="A13" s="62" t="s">
        <v>213</v>
      </c>
      <c r="B13" s="62"/>
      <c r="C13" s="63" t="s">
        <v>200</v>
      </c>
      <c r="D13" s="64" t="s">
        <v>201</v>
      </c>
      <c r="E13" s="62"/>
    </row>
    <row r="14" spans="1:5" ht="16" customHeight="1">
      <c r="A14" s="66" t="s">
        <v>214</v>
      </c>
      <c r="B14" s="66"/>
      <c r="C14" s="24" t="s">
        <v>215</v>
      </c>
      <c r="D14" s="24" t="s">
        <v>216</v>
      </c>
      <c r="E14" s="66"/>
    </row>
    <row r="16" spans="1:5" ht="20" customHeight="1">
      <c r="A16" s="3" t="s">
        <v>217</v>
      </c>
      <c r="B16" s="3"/>
      <c r="C16" s="3"/>
      <c r="D16" s="3"/>
      <c r="E16" s="3"/>
    </row>
    <row r="17" spans="1:5" ht="16" customHeight="1">
      <c r="A17" s="4" t="s">
        <v>78</v>
      </c>
      <c r="B17" s="4" t="s">
        <v>185</v>
      </c>
      <c r="C17" s="4" t="s">
        <v>80</v>
      </c>
      <c r="D17" s="4" t="s">
        <v>186</v>
      </c>
      <c r="E17" s="4" t="s">
        <v>187</v>
      </c>
    </row>
    <row r="18" spans="1:5" ht="16" customHeight="1">
      <c r="A18" s="58" t="s">
        <v>188</v>
      </c>
      <c r="B18" s="58" t="s">
        <v>218</v>
      </c>
      <c r="C18" s="59" t="s">
        <v>219</v>
      </c>
      <c r="D18" s="60" t="s">
        <v>220</v>
      </c>
      <c r="E18" s="61" t="s">
        <v>221</v>
      </c>
    </row>
    <row r="19" spans="1:5" ht="16" customHeight="1">
      <c r="A19" s="62" t="s">
        <v>222</v>
      </c>
      <c r="B19" s="62" t="s">
        <v>223</v>
      </c>
      <c r="C19" s="63" t="s">
        <v>224</v>
      </c>
      <c r="D19" s="64" t="s">
        <v>225</v>
      </c>
      <c r="E19" s="65" t="s">
        <v>226</v>
      </c>
    </row>
    <row r="20" spans="1:5" ht="16" customHeight="1">
      <c r="A20" s="58" t="s">
        <v>196</v>
      </c>
      <c r="B20" s="58" t="s">
        <v>227</v>
      </c>
      <c r="C20" s="59" t="s">
        <v>112</v>
      </c>
      <c r="D20" s="60" t="s">
        <v>194</v>
      </c>
      <c r="E20" s="61" t="s">
        <v>228</v>
      </c>
    </row>
    <row r="21" spans="1:5" ht="16" customHeight="1">
      <c r="A21" s="62" t="s">
        <v>229</v>
      </c>
      <c r="B21" s="62" t="s">
        <v>230</v>
      </c>
      <c r="C21" s="63" t="s">
        <v>104</v>
      </c>
      <c r="D21" s="64" t="s">
        <v>231</v>
      </c>
      <c r="E21" s="65" t="s">
        <v>232</v>
      </c>
    </row>
    <row r="22" spans="1:5" ht="16" customHeight="1">
      <c r="A22" s="58" t="s">
        <v>233</v>
      </c>
      <c r="B22" s="58" t="s">
        <v>199</v>
      </c>
      <c r="C22" s="59" t="s">
        <v>200</v>
      </c>
      <c r="D22" s="60" t="s">
        <v>201</v>
      </c>
      <c r="E22" s="58"/>
    </row>
    <row r="23" spans="1:5" ht="16" customHeight="1">
      <c r="A23" s="62" t="s">
        <v>234</v>
      </c>
      <c r="B23" s="62" t="s">
        <v>235</v>
      </c>
      <c r="C23" s="63" t="s">
        <v>200</v>
      </c>
      <c r="D23" s="64" t="s">
        <v>201</v>
      </c>
      <c r="E23" s="65" t="s">
        <v>236</v>
      </c>
    </row>
    <row r="24" spans="1:5" ht="16" customHeight="1">
      <c r="A24" s="66" t="s">
        <v>214</v>
      </c>
      <c r="B24" s="66"/>
      <c r="C24" s="24" t="s">
        <v>237</v>
      </c>
      <c r="D24" s="24" t="s">
        <v>238</v>
      </c>
      <c r="E24" s="66"/>
    </row>
    <row r="26" spans="1:5" ht="20" customHeight="1">
      <c r="A26" s="3" t="s">
        <v>239</v>
      </c>
      <c r="B26" s="3"/>
      <c r="C26" s="3"/>
      <c r="D26" s="3"/>
      <c r="E26" s="3"/>
    </row>
    <row r="27" spans="1:5" ht="16" customHeight="1">
      <c r="A27" s="4" t="s">
        <v>78</v>
      </c>
      <c r="B27" s="4" t="s">
        <v>185</v>
      </c>
      <c r="C27" s="4" t="s">
        <v>80</v>
      </c>
      <c r="D27" s="4" t="s">
        <v>186</v>
      </c>
      <c r="E27" s="4" t="s">
        <v>187</v>
      </c>
    </row>
    <row r="28" spans="1:5" ht="16" customHeight="1">
      <c r="A28" s="58" t="s">
        <v>188</v>
      </c>
      <c r="B28" s="58" t="s">
        <v>240</v>
      </c>
      <c r="C28" s="59" t="s">
        <v>241</v>
      </c>
      <c r="D28" s="60" t="s">
        <v>242</v>
      </c>
      <c r="E28" s="61" t="s">
        <v>243</v>
      </c>
    </row>
    <row r="29" spans="1:5" ht="16" customHeight="1">
      <c r="A29" s="62" t="s">
        <v>244</v>
      </c>
      <c r="B29" s="62" t="s">
        <v>245</v>
      </c>
      <c r="C29" s="63" t="s">
        <v>246</v>
      </c>
      <c r="D29" s="64" t="s">
        <v>247</v>
      </c>
      <c r="E29" s="65" t="s">
        <v>248</v>
      </c>
    </row>
    <row r="30" spans="1:5" ht="16" customHeight="1">
      <c r="A30" s="58" t="s">
        <v>249</v>
      </c>
      <c r="B30" s="58" t="s">
        <v>250</v>
      </c>
      <c r="C30" s="59" t="s">
        <v>251</v>
      </c>
      <c r="D30" s="60" t="s">
        <v>252</v>
      </c>
      <c r="E30" s="61" t="s">
        <v>253</v>
      </c>
    </row>
    <row r="31" spans="1:5" ht="16" customHeight="1">
      <c r="A31" s="62" t="s">
        <v>254</v>
      </c>
      <c r="B31" s="62" t="s">
        <v>255</v>
      </c>
      <c r="C31" s="63" t="s">
        <v>104</v>
      </c>
      <c r="D31" s="64" t="s">
        <v>231</v>
      </c>
      <c r="E31" s="65" t="s">
        <v>256</v>
      </c>
    </row>
    <row r="32" spans="1:5" ht="16" customHeight="1">
      <c r="A32" s="58" t="s">
        <v>257</v>
      </c>
      <c r="B32" s="58" t="s">
        <v>199</v>
      </c>
      <c r="C32" s="59" t="s">
        <v>224</v>
      </c>
      <c r="D32" s="60" t="s">
        <v>225</v>
      </c>
      <c r="E32" s="58"/>
    </row>
    <row r="33" spans="1:5" ht="16" customHeight="1">
      <c r="A33" s="66" t="s">
        <v>214</v>
      </c>
      <c r="B33" s="66"/>
      <c r="C33" s="24" t="s">
        <v>258</v>
      </c>
      <c r="D33" s="24" t="s">
        <v>259</v>
      </c>
      <c r="E33" s="66"/>
    </row>
    <row r="35" spans="1:5" ht="20" customHeight="1">
      <c r="A35" s="3" t="s">
        <v>260</v>
      </c>
      <c r="B35" s="3"/>
      <c r="C35" s="3"/>
      <c r="D35" s="3"/>
      <c r="E35" s="3"/>
    </row>
    <row r="36" spans="1:5" ht="16" customHeight="1">
      <c r="A36" s="4" t="s">
        <v>78</v>
      </c>
      <c r="B36" s="4" t="s">
        <v>185</v>
      </c>
      <c r="C36" s="4" t="s">
        <v>80</v>
      </c>
      <c r="D36" s="4" t="s">
        <v>186</v>
      </c>
      <c r="E36" s="4" t="s">
        <v>187</v>
      </c>
    </row>
    <row r="37" spans="1:5" ht="16" customHeight="1">
      <c r="A37" s="58" t="s">
        <v>188</v>
      </c>
      <c r="B37" s="58" t="s">
        <v>261</v>
      </c>
      <c r="C37" s="59" t="s">
        <v>262</v>
      </c>
      <c r="D37" s="60" t="s">
        <v>263</v>
      </c>
      <c r="E37" s="61" t="s">
        <v>264</v>
      </c>
    </row>
    <row r="38" spans="1:5" ht="16" customHeight="1">
      <c r="A38" s="62" t="s">
        <v>265</v>
      </c>
      <c r="B38" s="62" t="s">
        <v>266</v>
      </c>
      <c r="C38" s="63" t="s">
        <v>267</v>
      </c>
      <c r="D38" s="64" t="s">
        <v>268</v>
      </c>
      <c r="E38" s="65" t="s">
        <v>269</v>
      </c>
    </row>
    <row r="39" spans="1:5" ht="16" customHeight="1">
      <c r="A39" s="58" t="s">
        <v>270</v>
      </c>
      <c r="B39" s="58" t="s">
        <v>271</v>
      </c>
      <c r="C39" s="59" t="s">
        <v>272</v>
      </c>
      <c r="D39" s="60" t="s">
        <v>273</v>
      </c>
      <c r="E39" s="61" t="s">
        <v>274</v>
      </c>
    </row>
    <row r="40" spans="1:5" ht="16" customHeight="1">
      <c r="A40" s="62" t="s">
        <v>275</v>
      </c>
      <c r="B40" s="62" t="s">
        <v>255</v>
      </c>
      <c r="C40" s="63" t="s">
        <v>276</v>
      </c>
      <c r="D40" s="64" t="s">
        <v>277</v>
      </c>
      <c r="E40" s="65" t="s">
        <v>278</v>
      </c>
    </row>
    <row r="41" spans="1:5" ht="16" customHeight="1">
      <c r="A41" s="58" t="s">
        <v>279</v>
      </c>
      <c r="B41" s="58" t="s">
        <v>235</v>
      </c>
      <c r="C41" s="59" t="s">
        <v>200</v>
      </c>
      <c r="D41" s="60" t="s">
        <v>201</v>
      </c>
      <c r="E41" s="61" t="s">
        <v>280</v>
      </c>
    </row>
    <row r="42" spans="1:5" ht="16" customHeight="1">
      <c r="A42" s="66" t="s">
        <v>281</v>
      </c>
      <c r="B42" s="66"/>
      <c r="C42" s="24" t="s">
        <v>282</v>
      </c>
      <c r="D42" s="24" t="s">
        <v>283</v>
      </c>
      <c r="E42" s="66"/>
    </row>
  </sheetData>
  <mergeCells count="6">
    <mergeCell ref="A1:E1"/>
    <mergeCell ref="A2:E2"/>
    <mergeCell ref="A4:E4"/>
    <mergeCell ref="A16:E16"/>
    <mergeCell ref="A26:E26"/>
    <mergeCell ref="A35:E35"/>
  </mergeCells>
  <hyperlinks>
    <hyperlink ref="E6" r:id="rId1"/>
    <hyperlink ref="E7" r:id="rId2"/>
    <hyperlink ref="E8" r:id="rId3"/>
    <hyperlink ref="E10" r:id="rId4"/>
    <hyperlink ref="E11" r:id="rId5"/>
    <hyperlink ref="E18" r:id="rId6"/>
    <hyperlink ref="E19" r:id="rId7"/>
    <hyperlink ref="E20" r:id="rId8"/>
    <hyperlink ref="E21" r:id="rId9"/>
    <hyperlink ref="E23" r:id="rId10"/>
    <hyperlink ref="E28" r:id="rId11"/>
    <hyperlink ref="E29" r:id="rId12"/>
    <hyperlink ref="E30" r:id="rId13"/>
    <hyperlink ref="E31" r:id="rId14"/>
    <hyperlink ref="E37" r:id="rId15"/>
    <hyperlink ref="E38" r:id="rId16"/>
    <hyperlink ref="E39" r:id="rId17"/>
    <hyperlink ref="E40" r:id="rId18"/>
    <hyperlink ref="E41" r:id="rId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5"/>
  <sheetViews>
    <sheetView zoomScale="85" zoomScaleNormal="85" workbookViewId="0"/>
  </sheetViews>
  <sheetFormatPr defaultRowHeight="15"/>
  <cols>
    <col min="1" max="1" width="6.7109375" customWidth="1"/>
    <col min="2" max="2" width="14.7109375" customWidth="1"/>
    <col min="3" max="5" width="12.7109375" customWidth="1"/>
    <col min="6" max="6" width="14.7109375" customWidth="1"/>
    <col min="7" max="7" width="16.7109375" customWidth="1"/>
    <col min="8" max="8" width="28.7109375" customWidth="1"/>
    <col min="9" max="9" width="16.7109375" customWidth="1"/>
  </cols>
  <sheetData>
    <row r="1" spans="1:9" ht="48" customHeight="1">
      <c r="A1" s="1" t="s">
        <v>284</v>
      </c>
      <c r="B1" s="1"/>
      <c r="C1" s="1"/>
      <c r="D1" s="1"/>
      <c r="E1" s="1"/>
      <c r="F1" s="1"/>
      <c r="G1" s="1"/>
      <c r="H1" s="1"/>
      <c r="I1" s="1"/>
    </row>
    <row r="2" spans="1:9" ht="14" customHeight="1"/>
    <row r="3" spans="1:9" ht="18" customHeight="1">
      <c r="A3" s="4" t="s">
        <v>285</v>
      </c>
      <c r="B3" s="4" t="s">
        <v>169</v>
      </c>
      <c r="C3" s="4" t="s">
        <v>286</v>
      </c>
      <c r="D3" s="4" t="s">
        <v>287</v>
      </c>
      <c r="E3" s="4" t="s">
        <v>288</v>
      </c>
      <c r="F3" s="4" t="s">
        <v>289</v>
      </c>
      <c r="G3" s="4" t="s">
        <v>290</v>
      </c>
      <c r="H3" s="4" t="s">
        <v>291</v>
      </c>
      <c r="I3" s="4" t="s">
        <v>292</v>
      </c>
    </row>
    <row r="4" spans="1:9" ht="18" customHeight="1">
      <c r="A4" s="43">
        <v>1</v>
      </c>
      <c r="B4" s="43">
        <v>10</v>
      </c>
      <c r="C4" s="51">
        <v>8</v>
      </c>
      <c r="D4" s="51">
        <v>3</v>
      </c>
      <c r="E4" s="51">
        <v>100</v>
      </c>
      <c r="F4" s="46">
        <v>111</v>
      </c>
      <c r="G4" s="47">
        <v>105450</v>
      </c>
      <c r="H4" s="67" t="s">
        <v>73</v>
      </c>
      <c r="I4" s="67" t="s">
        <v>293</v>
      </c>
    </row>
    <row r="5" spans="1:9" ht="18" customHeight="1">
      <c r="A5" s="48">
        <v>2</v>
      </c>
      <c r="B5" s="48">
        <v>20</v>
      </c>
      <c r="C5" s="54">
        <v>16</v>
      </c>
      <c r="D5" s="54">
        <v>6</v>
      </c>
      <c r="E5" s="54">
        <v>100</v>
      </c>
      <c r="F5" s="46">
        <v>122</v>
      </c>
      <c r="G5" s="47">
        <v>115900</v>
      </c>
      <c r="H5" s="9" t="s">
        <v>73</v>
      </c>
      <c r="I5" s="9" t="s">
        <v>294</v>
      </c>
    </row>
    <row r="6" spans="1:9" ht="18" customHeight="1">
      <c r="A6" s="43">
        <v>3</v>
      </c>
      <c r="B6" s="43">
        <v>30</v>
      </c>
      <c r="C6" s="51">
        <v>24</v>
      </c>
      <c r="D6" s="51">
        <v>9</v>
      </c>
      <c r="E6" s="51">
        <v>100</v>
      </c>
      <c r="F6" s="46">
        <v>133</v>
      </c>
      <c r="G6" s="47">
        <v>126350</v>
      </c>
      <c r="H6" s="67" t="s">
        <v>73</v>
      </c>
      <c r="I6" s="67" t="s">
        <v>295</v>
      </c>
    </row>
    <row r="7" spans="1:9" ht="18" customHeight="1">
      <c r="A7" s="48">
        <v>4</v>
      </c>
      <c r="B7" s="48">
        <v>50</v>
      </c>
      <c r="C7" s="54">
        <v>40</v>
      </c>
      <c r="D7" s="54">
        <v>15</v>
      </c>
      <c r="E7" s="54">
        <v>100</v>
      </c>
      <c r="F7" s="46">
        <v>155</v>
      </c>
      <c r="G7" s="47">
        <v>147250</v>
      </c>
      <c r="H7" s="9" t="s">
        <v>73</v>
      </c>
      <c r="I7" s="9" t="s">
        <v>296</v>
      </c>
    </row>
    <row r="8" spans="1:9" ht="18" customHeight="1">
      <c r="A8" s="43">
        <v>5</v>
      </c>
      <c r="B8" s="43">
        <v>80</v>
      </c>
      <c r="C8" s="51">
        <v>64</v>
      </c>
      <c r="D8" s="51">
        <v>24</v>
      </c>
      <c r="E8" s="51">
        <v>100</v>
      </c>
      <c r="F8" s="46">
        <v>188</v>
      </c>
      <c r="G8" s="47">
        <v>178600</v>
      </c>
      <c r="H8" s="67" t="s">
        <v>73</v>
      </c>
      <c r="I8" s="67" t="s">
        <v>297</v>
      </c>
    </row>
    <row r="9" spans="1:9" ht="18" customHeight="1">
      <c r="A9" s="48">
        <v>6</v>
      </c>
      <c r="B9" s="48">
        <v>100</v>
      </c>
      <c r="C9" s="54">
        <v>80</v>
      </c>
      <c r="D9" s="54">
        <v>30</v>
      </c>
      <c r="E9" s="54">
        <v>100</v>
      </c>
      <c r="F9" s="46">
        <v>210</v>
      </c>
      <c r="G9" s="47">
        <v>199500</v>
      </c>
      <c r="H9" s="68" t="s">
        <v>298</v>
      </c>
      <c r="I9" s="9" t="s">
        <v>299</v>
      </c>
    </row>
    <row r="10" spans="1:9" ht="18" customHeight="1">
      <c r="A10" s="43">
        <v>7</v>
      </c>
      <c r="B10" s="43">
        <v>120</v>
      </c>
      <c r="C10" s="51">
        <v>96</v>
      </c>
      <c r="D10" s="51">
        <v>36</v>
      </c>
      <c r="E10" s="51">
        <v>125</v>
      </c>
      <c r="F10" s="46">
        <v>257</v>
      </c>
      <c r="G10" s="47">
        <v>244150</v>
      </c>
      <c r="H10" s="68" t="s">
        <v>300</v>
      </c>
      <c r="I10" s="67" t="s">
        <v>301</v>
      </c>
    </row>
    <row r="11" spans="1:9" ht="18" customHeight="1">
      <c r="A11" s="48">
        <v>8</v>
      </c>
      <c r="B11" s="48">
        <v>150</v>
      </c>
      <c r="C11" s="54">
        <v>120</v>
      </c>
      <c r="D11" s="54">
        <v>45</v>
      </c>
      <c r="E11" s="54">
        <v>125</v>
      </c>
      <c r="F11" s="46">
        <v>290</v>
      </c>
      <c r="G11" s="47">
        <v>275500</v>
      </c>
      <c r="H11" s="68" t="s">
        <v>302</v>
      </c>
      <c r="I11" s="9" t="s">
        <v>303</v>
      </c>
    </row>
    <row r="12" spans="1:9" ht="18" customHeight="1">
      <c r="A12" s="43">
        <v>9</v>
      </c>
      <c r="B12" s="43">
        <v>200</v>
      </c>
      <c r="C12" s="51">
        <v>160</v>
      </c>
      <c r="D12" s="51">
        <v>60</v>
      </c>
      <c r="E12" s="51">
        <v>125</v>
      </c>
      <c r="F12" s="46">
        <v>345</v>
      </c>
      <c r="G12" s="47">
        <v>327750</v>
      </c>
      <c r="H12" s="67" t="s">
        <v>73</v>
      </c>
      <c r="I12" s="67" t="s">
        <v>304</v>
      </c>
    </row>
    <row r="13" spans="1:9" ht="18" customHeight="1">
      <c r="A13" s="48">
        <v>10</v>
      </c>
      <c r="B13" s="48">
        <v>250</v>
      </c>
      <c r="C13" s="54">
        <v>200</v>
      </c>
      <c r="D13" s="54">
        <v>75</v>
      </c>
      <c r="E13" s="54">
        <v>125</v>
      </c>
      <c r="F13" s="46">
        <v>400</v>
      </c>
      <c r="G13" s="47">
        <v>380000</v>
      </c>
      <c r="H13" s="9" t="s">
        <v>73</v>
      </c>
      <c r="I13" s="9" t="s">
        <v>305</v>
      </c>
    </row>
    <row r="14" spans="1:9" ht="18" customHeight="1">
      <c r="A14" s="43">
        <v>11</v>
      </c>
      <c r="B14" s="43">
        <v>300</v>
      </c>
      <c r="C14" s="51">
        <v>240</v>
      </c>
      <c r="D14" s="51">
        <v>90</v>
      </c>
      <c r="E14" s="51">
        <v>125</v>
      </c>
      <c r="F14" s="46">
        <v>455</v>
      </c>
      <c r="G14" s="47">
        <v>432250</v>
      </c>
      <c r="H14" s="68" t="s">
        <v>306</v>
      </c>
      <c r="I14" s="67" t="s">
        <v>307</v>
      </c>
    </row>
    <row r="15" spans="1:9" ht="18" customHeight="1">
      <c r="A15" s="48">
        <v>12</v>
      </c>
      <c r="B15" s="48">
        <v>400</v>
      </c>
      <c r="C15" s="54">
        <v>320</v>
      </c>
      <c r="D15" s="54">
        <v>120</v>
      </c>
      <c r="E15" s="54">
        <v>125</v>
      </c>
      <c r="F15" s="46">
        <v>565</v>
      </c>
      <c r="G15" s="47">
        <v>536750</v>
      </c>
      <c r="H15" s="9" t="s">
        <v>73</v>
      </c>
      <c r="I15" s="9" t="s">
        <v>308</v>
      </c>
    </row>
    <row r="16" spans="1:9" ht="18" customHeight="1">
      <c r="A16" s="43">
        <v>13</v>
      </c>
      <c r="B16" s="43">
        <v>500</v>
      </c>
      <c r="C16" s="51">
        <v>400</v>
      </c>
      <c r="D16" s="51">
        <v>150</v>
      </c>
      <c r="E16" s="51">
        <v>125</v>
      </c>
      <c r="F16" s="46">
        <v>675</v>
      </c>
      <c r="G16" s="47">
        <v>641250</v>
      </c>
      <c r="H16" s="68" t="s">
        <v>309</v>
      </c>
      <c r="I16" s="67" t="s">
        <v>310</v>
      </c>
    </row>
    <row r="17" spans="1:15" ht="18" customHeight="1">
      <c r="A17" s="48">
        <v>14</v>
      </c>
      <c r="B17" s="48">
        <v>600</v>
      </c>
      <c r="C17" s="54">
        <v>480</v>
      </c>
      <c r="D17" s="54">
        <v>180</v>
      </c>
      <c r="E17" s="54">
        <v>155</v>
      </c>
      <c r="F17" s="46">
        <v>815</v>
      </c>
      <c r="G17" s="47">
        <v>774250</v>
      </c>
      <c r="H17" s="9" t="s">
        <v>73</v>
      </c>
      <c r="I17" s="9" t="s">
        <v>311</v>
      </c>
    </row>
    <row r="18" spans="1:15" ht="18" customHeight="1">
      <c r="A18" s="43">
        <v>15</v>
      </c>
      <c r="B18" s="43">
        <v>700</v>
      </c>
      <c r="C18" s="51">
        <v>560</v>
      </c>
      <c r="D18" s="51">
        <v>210</v>
      </c>
      <c r="E18" s="51">
        <v>155</v>
      </c>
      <c r="F18" s="46">
        <v>925</v>
      </c>
      <c r="G18" s="47">
        <v>878750</v>
      </c>
      <c r="H18" s="67" t="s">
        <v>73</v>
      </c>
      <c r="I18" s="67" t="s">
        <v>312</v>
      </c>
    </row>
    <row r="19" spans="1:15" ht="18" customHeight="1">
      <c r="A19" s="48">
        <v>16</v>
      </c>
      <c r="B19" s="48">
        <v>800</v>
      </c>
      <c r="C19" s="54">
        <v>640</v>
      </c>
      <c r="D19" s="54">
        <v>240</v>
      </c>
      <c r="E19" s="54">
        <v>155</v>
      </c>
      <c r="F19" s="46">
        <v>1035</v>
      </c>
      <c r="G19" s="47">
        <v>983250</v>
      </c>
      <c r="H19" s="9" t="s">
        <v>73</v>
      </c>
      <c r="I19" s="9" t="s">
        <v>313</v>
      </c>
    </row>
    <row r="20" spans="1:15" ht="18" customHeight="1">
      <c r="A20" s="43">
        <v>17</v>
      </c>
      <c r="B20" s="43">
        <v>900</v>
      </c>
      <c r="C20" s="51">
        <v>720</v>
      </c>
      <c r="D20" s="51">
        <v>270</v>
      </c>
      <c r="E20" s="51">
        <v>155</v>
      </c>
      <c r="F20" s="46">
        <v>1145</v>
      </c>
      <c r="G20" s="47">
        <v>1087750</v>
      </c>
      <c r="H20" s="68" t="s">
        <v>314</v>
      </c>
      <c r="I20" s="67" t="s">
        <v>315</v>
      </c>
    </row>
    <row r="21" spans="1:15" ht="18" customHeight="1">
      <c r="A21" s="48">
        <v>18</v>
      </c>
      <c r="B21" s="48">
        <v>1000</v>
      </c>
      <c r="C21" s="54">
        <v>800</v>
      </c>
      <c r="D21" s="54">
        <v>300</v>
      </c>
      <c r="E21" s="54">
        <v>155</v>
      </c>
      <c r="F21" s="46">
        <v>1255</v>
      </c>
      <c r="G21" s="47">
        <v>1192250</v>
      </c>
      <c r="H21" s="68" t="s">
        <v>316</v>
      </c>
      <c r="I21" s="9" t="s">
        <v>317</v>
      </c>
    </row>
    <row r="22" spans="1:15" ht="18" customHeight="1">
      <c r="A22" s="43">
        <v>19</v>
      </c>
      <c r="B22" s="43">
        <v>1500</v>
      </c>
      <c r="C22" s="51">
        <v>1200</v>
      </c>
      <c r="D22" s="51">
        <v>450</v>
      </c>
      <c r="E22" s="51">
        <v>155</v>
      </c>
      <c r="F22" s="46">
        <v>1805</v>
      </c>
      <c r="G22" s="47">
        <v>1714750</v>
      </c>
      <c r="H22" s="67" t="s">
        <v>73</v>
      </c>
      <c r="I22" s="67" t="s">
        <v>318</v>
      </c>
    </row>
    <row r="23" spans="1:15" ht="18" customHeight="1">
      <c r="A23" s="48">
        <v>20</v>
      </c>
      <c r="B23" s="48">
        <v>2000</v>
      </c>
      <c r="C23" s="54">
        <v>1600</v>
      </c>
      <c r="D23" s="54">
        <v>600</v>
      </c>
      <c r="E23" s="54">
        <v>155</v>
      </c>
      <c r="F23" s="46">
        <v>2355</v>
      </c>
      <c r="G23" s="47">
        <v>2237250</v>
      </c>
      <c r="H23" s="68" t="s">
        <v>319</v>
      </c>
      <c r="I23" s="9" t="s">
        <v>320</v>
      </c>
    </row>
    <row r="24" spans="1:15" ht="18" customHeight="1">
      <c r="A24" s="43">
        <v>21</v>
      </c>
      <c r="B24" s="43">
        <v>2500</v>
      </c>
      <c r="C24" s="51">
        <v>2000</v>
      </c>
      <c r="D24" s="51">
        <v>750</v>
      </c>
      <c r="E24" s="51">
        <v>230</v>
      </c>
      <c r="F24" s="46">
        <v>2980</v>
      </c>
      <c r="G24" s="47">
        <v>2831000</v>
      </c>
      <c r="H24" s="67" t="s">
        <v>73</v>
      </c>
      <c r="I24" s="67" t="s">
        <v>321</v>
      </c>
    </row>
    <row r="25" spans="1:15" ht="18" customHeight="1">
      <c r="A25" s="48">
        <v>22</v>
      </c>
      <c r="B25" s="48">
        <v>3000</v>
      </c>
      <c r="C25" s="54">
        <v>2400</v>
      </c>
      <c r="D25" s="54">
        <v>900</v>
      </c>
      <c r="E25" s="54">
        <v>230</v>
      </c>
      <c r="F25" s="46">
        <v>3530</v>
      </c>
      <c r="G25" s="47">
        <v>3353500</v>
      </c>
      <c r="H25" s="68" t="s">
        <v>322</v>
      </c>
      <c r="I25" s="9" t="s">
        <v>323</v>
      </c>
    </row>
    <row r="26" spans="1:15" ht="18" customHeight="1">
      <c r="A26" s="43">
        <v>23</v>
      </c>
      <c r="B26" s="43">
        <v>4000</v>
      </c>
      <c r="C26" s="51">
        <v>3200</v>
      </c>
      <c r="D26" s="51">
        <v>1200</v>
      </c>
      <c r="E26" s="51">
        <v>230</v>
      </c>
      <c r="F26" s="46">
        <v>4630</v>
      </c>
      <c r="G26" s="47">
        <v>4398500</v>
      </c>
      <c r="H26" s="68" t="s">
        <v>324</v>
      </c>
      <c r="I26" s="67" t="s">
        <v>325</v>
      </c>
    </row>
    <row r="27" spans="1:15" ht="18" customHeight="1">
      <c r="A27" s="48">
        <v>24</v>
      </c>
      <c r="B27" s="48">
        <v>5000</v>
      </c>
      <c r="C27" s="54">
        <v>4000</v>
      </c>
      <c r="D27" s="54">
        <v>1500</v>
      </c>
      <c r="E27" s="54">
        <v>230</v>
      </c>
      <c r="F27" s="46">
        <v>5730</v>
      </c>
      <c r="G27" s="47">
        <v>5443500</v>
      </c>
      <c r="H27" s="68" t="s">
        <v>326</v>
      </c>
      <c r="I27" s="9" t="s">
        <v>327</v>
      </c>
    </row>
    <row r="31" spans="1:15">
      <c r="J31" s="41" t="s">
        <v>285</v>
      </c>
      <c r="K31" s="41" t="s">
        <v>328</v>
      </c>
      <c r="L31" s="41" t="s">
        <v>329</v>
      </c>
      <c r="M31" s="41" t="s">
        <v>169</v>
      </c>
      <c r="N31" s="41" t="s">
        <v>330</v>
      </c>
      <c r="O31" s="41" t="s">
        <v>331</v>
      </c>
    </row>
    <row r="32" spans="1:15">
      <c r="J32" s="43">
        <v>1</v>
      </c>
      <c r="K32" s="51">
        <v>111</v>
      </c>
      <c r="L32" s="51">
        <v>200</v>
      </c>
      <c r="M32" s="43">
        <v>10</v>
      </c>
      <c r="N32" s="45">
        <v>105450</v>
      </c>
      <c r="O32" s="45">
        <v>190000</v>
      </c>
    </row>
    <row r="33" spans="10:15">
      <c r="J33" s="43">
        <v>2</v>
      </c>
      <c r="K33" s="51">
        <v>122</v>
      </c>
      <c r="L33" s="51">
        <v>400</v>
      </c>
      <c r="M33" s="43">
        <v>20</v>
      </c>
      <c r="N33" s="45">
        <v>115900</v>
      </c>
      <c r="O33" s="45">
        <v>380000</v>
      </c>
    </row>
    <row r="34" spans="10:15">
      <c r="J34" s="43">
        <v>3</v>
      </c>
      <c r="K34" s="51">
        <v>133</v>
      </c>
      <c r="L34" s="51">
        <v>600</v>
      </c>
      <c r="M34" s="43">
        <v>30</v>
      </c>
      <c r="N34" s="45">
        <v>126350</v>
      </c>
      <c r="O34" s="45">
        <v>570000</v>
      </c>
    </row>
    <row r="35" spans="10:15">
      <c r="J35" s="43">
        <v>4</v>
      </c>
      <c r="K35" s="51">
        <v>155</v>
      </c>
      <c r="L35" s="51">
        <v>1000</v>
      </c>
      <c r="M35" s="43">
        <v>50</v>
      </c>
      <c r="N35" s="45">
        <v>147250</v>
      </c>
      <c r="O35" s="45">
        <v>950000</v>
      </c>
    </row>
    <row r="36" spans="10:15">
      <c r="J36" s="43">
        <v>5</v>
      </c>
      <c r="K36" s="51">
        <v>188</v>
      </c>
      <c r="L36" s="51">
        <v>1600</v>
      </c>
      <c r="M36" s="43">
        <v>80</v>
      </c>
      <c r="N36" s="45">
        <v>178600</v>
      </c>
      <c r="O36" s="45">
        <v>1520000</v>
      </c>
    </row>
    <row r="37" spans="10:15">
      <c r="J37" s="43">
        <v>6</v>
      </c>
      <c r="K37" s="51">
        <v>210</v>
      </c>
      <c r="L37" s="51">
        <v>2000</v>
      </c>
      <c r="M37" s="43">
        <v>100</v>
      </c>
      <c r="N37" s="45">
        <v>199500</v>
      </c>
      <c r="O37" s="45">
        <v>1900000</v>
      </c>
    </row>
    <row r="38" spans="10:15">
      <c r="J38" s="43">
        <v>7</v>
      </c>
      <c r="K38" s="51">
        <v>257</v>
      </c>
      <c r="L38" s="51">
        <v>2400</v>
      </c>
      <c r="M38" s="43">
        <v>120</v>
      </c>
      <c r="N38" s="45">
        <v>244150</v>
      </c>
      <c r="O38" s="45">
        <v>2280000</v>
      </c>
    </row>
    <row r="39" spans="10:15">
      <c r="J39" s="43">
        <v>8</v>
      </c>
      <c r="K39" s="51">
        <v>290</v>
      </c>
      <c r="L39" s="51">
        <v>3000</v>
      </c>
      <c r="M39" s="43">
        <v>150</v>
      </c>
      <c r="N39" s="45">
        <v>275500</v>
      </c>
      <c r="O39" s="45">
        <v>2850000</v>
      </c>
    </row>
    <row r="40" spans="10:15">
      <c r="J40" s="43">
        <v>9</v>
      </c>
      <c r="K40" s="51">
        <v>345</v>
      </c>
      <c r="L40" s="51">
        <v>4000</v>
      </c>
      <c r="M40" s="43">
        <v>200</v>
      </c>
      <c r="N40" s="45">
        <v>327750</v>
      </c>
      <c r="O40" s="45">
        <v>3800000</v>
      </c>
    </row>
    <row r="41" spans="10:15">
      <c r="J41" s="43">
        <v>10</v>
      </c>
      <c r="K41" s="51">
        <v>400</v>
      </c>
      <c r="L41" s="51">
        <v>5000</v>
      </c>
      <c r="M41" s="43">
        <v>250</v>
      </c>
      <c r="N41" s="45">
        <v>380000</v>
      </c>
      <c r="O41" s="45">
        <v>4750000</v>
      </c>
    </row>
    <row r="42" spans="10:15">
      <c r="J42" s="43">
        <v>11</v>
      </c>
      <c r="K42" s="51">
        <v>455</v>
      </c>
      <c r="L42" s="51">
        <v>6000</v>
      </c>
      <c r="M42" s="43">
        <v>300</v>
      </c>
      <c r="N42" s="45">
        <v>432250</v>
      </c>
      <c r="O42" s="45">
        <v>5700000</v>
      </c>
    </row>
    <row r="43" spans="10:15">
      <c r="J43" s="43">
        <v>12</v>
      </c>
      <c r="K43" s="51">
        <v>565</v>
      </c>
      <c r="L43" s="51">
        <v>8000</v>
      </c>
      <c r="M43" s="43">
        <v>400</v>
      </c>
      <c r="N43" s="45">
        <v>536750</v>
      </c>
      <c r="O43" s="45">
        <v>7600000</v>
      </c>
    </row>
    <row r="44" spans="10:15">
      <c r="J44" s="43">
        <v>13</v>
      </c>
      <c r="K44" s="51">
        <v>675</v>
      </c>
      <c r="L44" s="51">
        <v>10000</v>
      </c>
      <c r="M44" s="43">
        <v>500</v>
      </c>
      <c r="N44" s="45">
        <v>641250</v>
      </c>
      <c r="O44" s="45">
        <v>9500000</v>
      </c>
    </row>
    <row r="45" spans="10:15">
      <c r="J45" s="43">
        <v>14</v>
      </c>
      <c r="K45" s="51">
        <v>815</v>
      </c>
      <c r="L45" s="51">
        <v>12000</v>
      </c>
      <c r="M45" s="43">
        <v>600</v>
      </c>
      <c r="N45" s="45">
        <v>774250</v>
      </c>
      <c r="O45" s="45">
        <v>11400000</v>
      </c>
    </row>
    <row r="46" spans="10:15">
      <c r="J46" s="43">
        <v>15</v>
      </c>
      <c r="K46" s="51">
        <v>925</v>
      </c>
      <c r="L46" s="51">
        <v>14000</v>
      </c>
      <c r="M46" s="43">
        <v>700</v>
      </c>
      <c r="N46" s="45">
        <v>878750</v>
      </c>
      <c r="O46" s="45">
        <v>13300000</v>
      </c>
    </row>
    <row r="47" spans="10:15">
      <c r="J47" s="43">
        <v>16</v>
      </c>
      <c r="K47" s="51">
        <v>1035</v>
      </c>
      <c r="L47" s="51">
        <v>16000</v>
      </c>
      <c r="M47" s="43">
        <v>800</v>
      </c>
      <c r="N47" s="45">
        <v>983250</v>
      </c>
      <c r="O47" s="45">
        <v>15200000</v>
      </c>
    </row>
    <row r="48" spans="10:15">
      <c r="J48" s="43">
        <v>17</v>
      </c>
      <c r="K48" s="51">
        <v>1145</v>
      </c>
      <c r="L48" s="51">
        <v>18000</v>
      </c>
      <c r="M48" s="43">
        <v>900</v>
      </c>
      <c r="N48" s="45">
        <v>1087750</v>
      </c>
      <c r="O48" s="45">
        <v>17100000</v>
      </c>
    </row>
    <row r="49" spans="10:15">
      <c r="J49" s="43">
        <v>18</v>
      </c>
      <c r="K49" s="51">
        <v>1255</v>
      </c>
      <c r="L49" s="51">
        <v>20000</v>
      </c>
      <c r="M49" s="43">
        <v>1000</v>
      </c>
      <c r="N49" s="45">
        <v>1192250</v>
      </c>
      <c r="O49" s="45">
        <v>19000000</v>
      </c>
    </row>
    <row r="50" spans="10:15">
      <c r="J50" s="43">
        <v>19</v>
      </c>
      <c r="K50" s="51">
        <v>1805</v>
      </c>
      <c r="L50" s="51">
        <v>30000</v>
      </c>
      <c r="M50" s="43">
        <v>1500</v>
      </c>
      <c r="N50" s="45">
        <v>1714750</v>
      </c>
      <c r="O50" s="45">
        <v>28500000</v>
      </c>
    </row>
    <row r="51" spans="10:15">
      <c r="J51" s="43">
        <v>20</v>
      </c>
      <c r="K51" s="51">
        <v>2355</v>
      </c>
      <c r="L51" s="51">
        <v>40000</v>
      </c>
      <c r="M51" s="43">
        <v>2000</v>
      </c>
      <c r="N51" s="45">
        <v>2237250</v>
      </c>
      <c r="O51" s="45">
        <v>38000000</v>
      </c>
    </row>
    <row r="52" spans="10:15">
      <c r="J52" s="43">
        <v>21</v>
      </c>
      <c r="K52" s="51">
        <v>2980</v>
      </c>
      <c r="L52" s="51">
        <v>50000</v>
      </c>
      <c r="M52" s="43">
        <v>2500</v>
      </c>
      <c r="N52" s="45">
        <v>2831000</v>
      </c>
      <c r="O52" s="45">
        <v>47500000</v>
      </c>
    </row>
    <row r="53" spans="10:15">
      <c r="J53" s="43">
        <v>22</v>
      </c>
      <c r="K53" s="51">
        <v>3530</v>
      </c>
      <c r="L53" s="51">
        <v>60000</v>
      </c>
      <c r="M53" s="43">
        <v>3000</v>
      </c>
      <c r="N53" s="45">
        <v>3353500</v>
      </c>
      <c r="O53" s="45">
        <v>57000000</v>
      </c>
    </row>
    <row r="54" spans="10:15">
      <c r="J54" s="43">
        <v>23</v>
      </c>
      <c r="K54" s="51">
        <v>4630</v>
      </c>
      <c r="L54" s="51">
        <v>80000</v>
      </c>
      <c r="M54" s="43">
        <v>4000</v>
      </c>
      <c r="N54" s="45">
        <v>4398500</v>
      </c>
      <c r="O54" s="45">
        <v>76000000</v>
      </c>
    </row>
    <row r="55" spans="10:15">
      <c r="J55" s="43">
        <v>24</v>
      </c>
      <c r="K55" s="51">
        <v>5730</v>
      </c>
      <c r="L55" s="51">
        <v>100000</v>
      </c>
      <c r="M55" s="43">
        <v>5000</v>
      </c>
      <c r="N55" s="45">
        <v>5443500</v>
      </c>
      <c r="O55" s="45">
        <v>95000000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7"/>
  <sheetViews>
    <sheetView zoomScale="90" zoomScaleNormal="90" workbookViewId="0"/>
  </sheetViews>
  <sheetFormatPr defaultRowHeight="15"/>
  <cols>
    <col min="1" max="1" width="26.7109375" customWidth="1"/>
    <col min="2" max="7" width="16.7109375" customWidth="1"/>
  </cols>
  <sheetData>
    <row r="1" spans="1:7" ht="48" customHeight="1">
      <c r="A1" s="1" t="s">
        <v>332</v>
      </c>
      <c r="B1" s="1"/>
      <c r="C1" s="1"/>
      <c r="D1" s="1"/>
      <c r="E1" s="1"/>
      <c r="F1" s="1"/>
      <c r="G1" s="1"/>
    </row>
    <row r="2" spans="1:7" ht="14" customHeight="1">
      <c r="A2" s="3" t="s">
        <v>333</v>
      </c>
      <c r="B2" s="3"/>
      <c r="C2" s="3"/>
      <c r="D2" s="3"/>
      <c r="E2" s="3"/>
      <c r="F2" s="3"/>
      <c r="G2" s="3"/>
    </row>
    <row r="3" spans="1:7" ht="20" customHeight="1"/>
    <row r="4" spans="1:7" ht="18" customHeight="1">
      <c r="A4" s="4" t="s">
        <v>334</v>
      </c>
      <c r="B4" s="4" t="s">
        <v>335</v>
      </c>
      <c r="C4" s="4" t="s">
        <v>336</v>
      </c>
      <c r="D4" s="4" t="s">
        <v>337</v>
      </c>
      <c r="E4" s="4" t="s">
        <v>338</v>
      </c>
      <c r="F4" s="4" t="s">
        <v>339</v>
      </c>
      <c r="G4" s="4" t="s">
        <v>340</v>
      </c>
    </row>
    <row r="5" spans="1:7" ht="22" customHeight="1">
      <c r="A5" s="69" t="s">
        <v>341</v>
      </c>
      <c r="B5" s="70" t="s">
        <v>342</v>
      </c>
      <c r="C5" s="71" t="s">
        <v>343</v>
      </c>
      <c r="D5" s="69" t="s">
        <v>344</v>
      </c>
      <c r="E5" s="72" t="s">
        <v>345</v>
      </c>
      <c r="F5" s="70" t="s">
        <v>346</v>
      </c>
      <c r="G5" s="71" t="s">
        <v>347</v>
      </c>
    </row>
    <row r="6" spans="1:7" ht="22" customHeight="1">
      <c r="A6" s="73" t="s">
        <v>348</v>
      </c>
      <c r="B6" s="74" t="s">
        <v>200</v>
      </c>
      <c r="C6" s="75" t="s">
        <v>349</v>
      </c>
      <c r="D6" s="73" t="s">
        <v>350</v>
      </c>
      <c r="E6" s="76" t="s">
        <v>351</v>
      </c>
      <c r="F6" s="74" t="s">
        <v>352</v>
      </c>
      <c r="G6" s="75" t="s">
        <v>353</v>
      </c>
    </row>
    <row r="7" spans="1:7" ht="22" customHeight="1">
      <c r="A7" s="69" t="s">
        <v>354</v>
      </c>
      <c r="B7" s="70" t="s">
        <v>224</v>
      </c>
      <c r="C7" s="71" t="s">
        <v>355</v>
      </c>
      <c r="D7" s="69" t="s">
        <v>356</v>
      </c>
      <c r="E7" s="72" t="s">
        <v>357</v>
      </c>
      <c r="F7" s="70" t="s">
        <v>358</v>
      </c>
      <c r="G7" s="71" t="s">
        <v>359</v>
      </c>
    </row>
    <row r="8" spans="1:7" ht="14" customHeight="1">
      <c r="A8" s="3" t="s">
        <v>360</v>
      </c>
      <c r="B8" s="3"/>
      <c r="C8" s="3"/>
      <c r="D8" s="3"/>
      <c r="E8" s="3"/>
      <c r="F8" s="3"/>
      <c r="G8" s="3"/>
    </row>
    <row r="9" spans="1:7" ht="20" customHeight="1"/>
    <row r="10" spans="1:7" ht="18" customHeight="1">
      <c r="A10" s="4" t="s">
        <v>361</v>
      </c>
      <c r="B10" s="4" t="s">
        <v>362</v>
      </c>
      <c r="C10" s="4" t="s">
        <v>363</v>
      </c>
      <c r="D10" s="4" t="s">
        <v>364</v>
      </c>
      <c r="E10" s="4" t="s">
        <v>365</v>
      </c>
      <c r="F10" s="4" t="s">
        <v>366</v>
      </c>
      <c r="G10" s="4" t="s">
        <v>367</v>
      </c>
    </row>
    <row r="11" spans="1:7" ht="18" customHeight="1">
      <c r="A11" s="43">
        <v>1</v>
      </c>
      <c r="B11" s="43">
        <v>100</v>
      </c>
      <c r="C11" s="43">
        <v>100</v>
      </c>
      <c r="D11" s="46">
        <v>210</v>
      </c>
      <c r="E11" s="47">
        <v>199500</v>
      </c>
      <c r="F11" s="77">
        <v>2000</v>
      </c>
      <c r="G11" s="47">
        <v>1900000</v>
      </c>
    </row>
    <row r="12" spans="1:7" ht="18" customHeight="1">
      <c r="A12" s="48">
        <v>3</v>
      </c>
      <c r="B12" s="48">
        <v>100</v>
      </c>
      <c r="C12" s="48">
        <v>300</v>
      </c>
      <c r="D12" s="46">
        <v>455</v>
      </c>
      <c r="E12" s="47">
        <v>432250</v>
      </c>
      <c r="F12" s="77">
        <v>6000</v>
      </c>
      <c r="G12" s="47">
        <v>5700000</v>
      </c>
    </row>
    <row r="13" spans="1:7" ht="18" customHeight="1">
      <c r="A13" s="43">
        <v>5</v>
      </c>
      <c r="B13" s="43">
        <v>100</v>
      </c>
      <c r="C13" s="43">
        <v>500</v>
      </c>
      <c r="D13" s="46">
        <v>675</v>
      </c>
      <c r="E13" s="47">
        <v>641250</v>
      </c>
      <c r="F13" s="77">
        <v>10000</v>
      </c>
      <c r="G13" s="47">
        <v>9500000</v>
      </c>
    </row>
    <row r="14" spans="1:7" ht="18" customHeight="1">
      <c r="A14" s="48">
        <v>10</v>
      </c>
      <c r="B14" s="48">
        <v>100</v>
      </c>
      <c r="C14" s="48">
        <v>1000</v>
      </c>
      <c r="D14" s="46">
        <v>1255</v>
      </c>
      <c r="E14" s="47">
        <v>1192250</v>
      </c>
      <c r="F14" s="77">
        <v>20000</v>
      </c>
      <c r="G14" s="47">
        <v>19000000</v>
      </c>
    </row>
    <row r="15" spans="1:7" ht="18" customHeight="1">
      <c r="A15" s="43">
        <v>15</v>
      </c>
      <c r="B15" s="43">
        <v>150</v>
      </c>
      <c r="C15" s="43">
        <v>2250</v>
      </c>
      <c r="D15" s="46">
        <v>2705</v>
      </c>
      <c r="E15" s="47">
        <v>2569750</v>
      </c>
      <c r="F15" s="77">
        <v>45000</v>
      </c>
      <c r="G15" s="47">
        <v>42750000</v>
      </c>
    </row>
    <row r="16" spans="1:7" ht="18" customHeight="1">
      <c r="A16" s="48">
        <v>20</v>
      </c>
      <c r="B16" s="48">
        <v>150</v>
      </c>
      <c r="C16" s="48">
        <v>3000</v>
      </c>
      <c r="D16" s="46">
        <v>3530</v>
      </c>
      <c r="E16" s="47">
        <v>3353500</v>
      </c>
      <c r="F16" s="77">
        <v>60000</v>
      </c>
      <c r="G16" s="47">
        <v>57000000</v>
      </c>
    </row>
    <row r="17" spans="1:7" ht="18" customHeight="1">
      <c r="A17" s="43">
        <v>30</v>
      </c>
      <c r="B17" s="43">
        <v>200</v>
      </c>
      <c r="C17" s="43">
        <v>6000</v>
      </c>
      <c r="D17" s="46">
        <v>7250</v>
      </c>
      <c r="E17" s="47">
        <v>6887500</v>
      </c>
      <c r="F17" s="77">
        <v>120000</v>
      </c>
      <c r="G17" s="47">
        <v>114000000</v>
      </c>
    </row>
    <row r="18" spans="1:7" ht="18" customHeight="1">
      <c r="A18" s="48">
        <v>50</v>
      </c>
      <c r="B18" s="48">
        <v>100</v>
      </c>
      <c r="C18" s="48">
        <v>5000</v>
      </c>
      <c r="D18" s="46">
        <v>5730</v>
      </c>
      <c r="E18" s="47">
        <v>5443500</v>
      </c>
      <c r="F18" s="77">
        <v>100000</v>
      </c>
      <c r="G18" s="47">
        <v>95000000</v>
      </c>
    </row>
    <row r="29" spans="1:7">
      <c r="A29" s="41" t="s">
        <v>361</v>
      </c>
      <c r="B29" s="41" t="s">
        <v>368</v>
      </c>
      <c r="C29" s="41" t="s">
        <v>369</v>
      </c>
      <c r="D29" s="41" t="s">
        <v>367</v>
      </c>
    </row>
    <row r="30" spans="1:7">
      <c r="A30" s="43">
        <v>1</v>
      </c>
      <c r="B30" s="51">
        <v>2000</v>
      </c>
      <c r="C30" s="51">
        <v>210</v>
      </c>
      <c r="D30" s="45">
        <v>1900000</v>
      </c>
    </row>
    <row r="31" spans="1:7">
      <c r="A31" s="43">
        <v>3</v>
      </c>
      <c r="B31" s="51">
        <v>6000</v>
      </c>
      <c r="C31" s="51">
        <v>455</v>
      </c>
      <c r="D31" s="45">
        <v>5700000</v>
      </c>
    </row>
    <row r="32" spans="1:7">
      <c r="A32" s="43">
        <v>5</v>
      </c>
      <c r="B32" s="51">
        <v>10000</v>
      </c>
      <c r="C32" s="51">
        <v>675</v>
      </c>
      <c r="D32" s="45">
        <v>9500000</v>
      </c>
    </row>
    <row r="33" spans="1:4">
      <c r="A33" s="43">
        <v>10</v>
      </c>
      <c r="B33" s="51">
        <v>20000</v>
      </c>
      <c r="C33" s="51">
        <v>1255</v>
      </c>
      <c r="D33" s="45">
        <v>19000000</v>
      </c>
    </row>
    <row r="34" spans="1:4">
      <c r="A34" s="43">
        <v>15</v>
      </c>
      <c r="B34" s="51">
        <v>45000</v>
      </c>
      <c r="C34" s="51">
        <v>2705</v>
      </c>
      <c r="D34" s="45">
        <v>42750000</v>
      </c>
    </row>
    <row r="35" spans="1:4">
      <c r="A35" s="43">
        <v>20</v>
      </c>
      <c r="B35" s="51">
        <v>60000</v>
      </c>
      <c r="C35" s="51">
        <v>3530</v>
      </c>
      <c r="D35" s="45">
        <v>57000000</v>
      </c>
    </row>
    <row r="36" spans="1:4">
      <c r="A36" s="43">
        <v>30</v>
      </c>
      <c r="B36" s="51">
        <v>120000</v>
      </c>
      <c r="C36" s="51">
        <v>7250</v>
      </c>
      <c r="D36" s="45">
        <v>114000000</v>
      </c>
    </row>
    <row r="37" spans="1:4">
      <c r="A37" s="43">
        <v>50</v>
      </c>
      <c r="B37" s="51">
        <v>100000</v>
      </c>
      <c r="C37" s="51">
        <v>5730</v>
      </c>
      <c r="D37" s="45">
        <v>95000000</v>
      </c>
    </row>
  </sheetData>
  <mergeCells count="3">
    <mergeCell ref="A1:G1"/>
    <mergeCell ref="A2:G2"/>
    <mergeCell ref="A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0"/>
  <sheetViews>
    <sheetView zoomScale="90" zoomScaleNormal="90" workbookViewId="0"/>
  </sheetViews>
  <sheetFormatPr defaultRowHeight="15"/>
  <cols>
    <col min="1" max="1" width="30.7109375" customWidth="1"/>
    <col min="2" max="5" width="18.7109375" customWidth="1"/>
  </cols>
  <sheetData>
    <row r="1" spans="1:5" ht="52" customHeight="1">
      <c r="A1" s="78" t="s">
        <v>370</v>
      </c>
      <c r="B1" s="78"/>
      <c r="C1" s="78"/>
      <c r="D1" s="78"/>
      <c r="E1" s="78"/>
    </row>
    <row r="2" spans="1:5">
      <c r="A2" s="79" t="s">
        <v>371</v>
      </c>
      <c r="B2" s="79"/>
      <c r="C2" s="79"/>
      <c r="D2" s="79"/>
      <c r="E2" s="79"/>
    </row>
    <row r="3" spans="1:5" ht="14" customHeight="1"/>
    <row r="4" spans="1:5" ht="64" customHeight="1">
      <c r="A4" s="80" t="s">
        <v>372</v>
      </c>
      <c r="B4" s="80" t="s">
        <v>374</v>
      </c>
      <c r="C4" s="80" t="s">
        <v>376</v>
      </c>
      <c r="D4" s="80" t="s">
        <v>378</v>
      </c>
      <c r="E4" s="80" t="s">
        <v>380</v>
      </c>
    </row>
    <row r="5" spans="1:5" ht="24" customHeight="1">
      <c r="A5" s="81" t="s">
        <v>373</v>
      </c>
      <c r="B5" s="81" t="s">
        <v>375</v>
      </c>
      <c r="C5" s="81" t="s">
        <v>377</v>
      </c>
      <c r="D5" s="81" t="s">
        <v>379</v>
      </c>
      <c r="E5" s="81" t="s">
        <v>381</v>
      </c>
    </row>
    <row r="6" spans="1:5" ht="14" customHeight="1">
      <c r="A6" s="3" t="s">
        <v>382</v>
      </c>
      <c r="B6" s="3"/>
      <c r="C6" s="3"/>
      <c r="D6" s="3"/>
      <c r="E6" s="3"/>
    </row>
    <row r="7" spans="1:5" ht="20" customHeight="1"/>
    <row r="8" spans="1:5" ht="18" customHeight="1">
      <c r="A8" s="4" t="s">
        <v>383</v>
      </c>
      <c r="B8" s="4" t="s">
        <v>384</v>
      </c>
      <c r="C8" s="4" t="s">
        <v>385</v>
      </c>
      <c r="D8" s="4" t="s">
        <v>386</v>
      </c>
      <c r="E8" s="4" t="s">
        <v>387</v>
      </c>
    </row>
    <row r="9" spans="1:5" ht="18" customHeight="1">
      <c r="A9" s="67" t="s">
        <v>388</v>
      </c>
      <c r="B9" s="43">
        <v>100</v>
      </c>
      <c r="C9" s="51">
        <v>2000</v>
      </c>
      <c r="D9" s="45">
        <v>1900000</v>
      </c>
      <c r="E9" s="55">
        <v>0.895</v>
      </c>
    </row>
    <row r="10" spans="1:5" ht="18" customHeight="1">
      <c r="A10" s="9" t="s">
        <v>389</v>
      </c>
      <c r="B10" s="48">
        <v>300</v>
      </c>
      <c r="C10" s="54">
        <v>6000</v>
      </c>
      <c r="D10" s="50">
        <v>5700000</v>
      </c>
      <c r="E10" s="55">
        <v>0.9241666666666667</v>
      </c>
    </row>
    <row r="11" spans="1:5" ht="18" customHeight="1">
      <c r="A11" s="67" t="s">
        <v>390</v>
      </c>
      <c r="B11" s="43">
        <v>1000</v>
      </c>
      <c r="C11" s="51">
        <v>20000</v>
      </c>
      <c r="D11" s="45">
        <v>19000000</v>
      </c>
      <c r="E11" s="55">
        <v>0.93725</v>
      </c>
    </row>
    <row r="12" spans="1:5" ht="18" customHeight="1">
      <c r="A12" s="9" t="s">
        <v>391</v>
      </c>
      <c r="B12" s="48">
        <v>5000</v>
      </c>
      <c r="C12" s="54">
        <v>100000</v>
      </c>
      <c r="D12" s="50">
        <v>95000000</v>
      </c>
      <c r="E12" s="55">
        <v>0.9427</v>
      </c>
    </row>
    <row r="13" spans="1:5" ht="18" customHeight="1">
      <c r="A13" s="67" t="s">
        <v>392</v>
      </c>
      <c r="B13" s="43">
        <v>20000</v>
      </c>
      <c r="C13" s="51">
        <v>400000</v>
      </c>
      <c r="D13" s="45">
        <v>380000000</v>
      </c>
      <c r="E13" s="55">
        <v>0.943375</v>
      </c>
    </row>
    <row r="14" spans="1:5" ht="14" customHeight="1"/>
    <row r="15" spans="1:5">
      <c r="A15" s="3" t="s">
        <v>393</v>
      </c>
      <c r="B15" s="3"/>
      <c r="C15" s="3"/>
      <c r="D15" s="3"/>
      <c r="E15" s="3"/>
    </row>
    <row r="16" spans="1:5" ht="16" customHeight="1">
      <c r="A16" s="4" t="s">
        <v>394</v>
      </c>
      <c r="B16" s="4" t="s">
        <v>395</v>
      </c>
      <c r="C16" s="4" t="s">
        <v>396</v>
      </c>
      <c r="D16" s="4" t="s">
        <v>397</v>
      </c>
      <c r="E16" s="4" t="s">
        <v>398</v>
      </c>
    </row>
    <row r="17" spans="1:5" ht="16" customHeight="1">
      <c r="A17" s="82" t="s">
        <v>399</v>
      </c>
      <c r="B17" s="83" t="s">
        <v>400</v>
      </c>
      <c r="C17" s="84" t="s">
        <v>401</v>
      </c>
      <c r="D17" s="85" t="s">
        <v>402</v>
      </c>
      <c r="E17" s="86" t="s">
        <v>403</v>
      </c>
    </row>
    <row r="18" spans="1:5" ht="16" customHeight="1">
      <c r="A18" s="87" t="s">
        <v>404</v>
      </c>
      <c r="B18" s="83" t="s">
        <v>405</v>
      </c>
      <c r="C18" s="84" t="s">
        <v>374</v>
      </c>
      <c r="D18" s="85" t="s">
        <v>406</v>
      </c>
      <c r="E18" s="88" t="s">
        <v>407</v>
      </c>
    </row>
    <row r="19" spans="1:5" ht="16" customHeight="1">
      <c r="A19" s="82" t="s">
        <v>408</v>
      </c>
      <c r="B19" s="83" t="s">
        <v>409</v>
      </c>
      <c r="C19" s="84" t="s">
        <v>410</v>
      </c>
      <c r="D19" s="85" t="s">
        <v>411</v>
      </c>
      <c r="E19" s="86" t="s">
        <v>412</v>
      </c>
    </row>
    <row r="20" spans="1:5" ht="16" customHeight="1">
      <c r="A20" s="87" t="s">
        <v>413</v>
      </c>
      <c r="B20" s="83" t="s">
        <v>414</v>
      </c>
      <c r="C20" s="84" t="s">
        <v>378</v>
      </c>
      <c r="D20" s="85" t="s">
        <v>415</v>
      </c>
      <c r="E20" s="88" t="s">
        <v>416</v>
      </c>
    </row>
    <row r="21" spans="1:5" ht="16" customHeight="1">
      <c r="A21" s="82" t="s">
        <v>417</v>
      </c>
      <c r="B21" s="83" t="s">
        <v>418</v>
      </c>
      <c r="C21" s="84" t="s">
        <v>419</v>
      </c>
      <c r="D21" s="85" t="s">
        <v>420</v>
      </c>
      <c r="E21" s="86" t="s">
        <v>421</v>
      </c>
    </row>
    <row r="22" spans="1:5" ht="16" customHeight="1">
      <c r="A22" s="87" t="s">
        <v>422</v>
      </c>
      <c r="B22" s="83" t="s">
        <v>423</v>
      </c>
      <c r="C22" s="84" t="s">
        <v>424</v>
      </c>
      <c r="D22" s="85" t="s">
        <v>425</v>
      </c>
      <c r="E22" s="88" t="s">
        <v>426</v>
      </c>
    </row>
    <row r="24" spans="1:5">
      <c r="A24" s="41" t="s">
        <v>181</v>
      </c>
      <c r="B24" s="41" t="s">
        <v>427</v>
      </c>
      <c r="C24" s="41" t="s">
        <v>428</v>
      </c>
    </row>
    <row r="25" spans="1:5">
      <c r="A25" s="53" t="s">
        <v>429</v>
      </c>
      <c r="B25" s="89">
        <v>0</v>
      </c>
      <c r="C25" s="89">
        <v>0</v>
      </c>
    </row>
    <row r="26" spans="1:5">
      <c r="A26" s="53" t="s">
        <v>430</v>
      </c>
      <c r="B26" s="89">
        <v>0.52</v>
      </c>
      <c r="C26" s="89">
        <v>0.895</v>
      </c>
    </row>
    <row r="27" spans="1:5">
      <c r="A27" s="53" t="s">
        <v>431</v>
      </c>
      <c r="B27" s="89">
        <v>0.51</v>
      </c>
      <c r="C27" s="89">
        <v>0.9325</v>
      </c>
    </row>
    <row r="28" spans="1:5">
      <c r="A28" s="53" t="s">
        <v>432</v>
      </c>
      <c r="B28" s="89">
        <v>0.52</v>
      </c>
      <c r="C28" s="89">
        <v>0.93725</v>
      </c>
    </row>
    <row r="29" spans="1:5">
      <c r="A29" s="53" t="s">
        <v>433</v>
      </c>
      <c r="B29" s="89">
        <v>0.52</v>
      </c>
      <c r="C29" s="89">
        <v>0.9427</v>
      </c>
    </row>
    <row r="49" spans="1:5">
      <c r="A49" s="90" t="s">
        <v>434</v>
      </c>
      <c r="B49" s="90"/>
      <c r="C49" s="90"/>
      <c r="D49" s="90"/>
      <c r="E49" s="90"/>
    </row>
    <row r="50" spans="1:5">
      <c r="A50" s="90" t="s">
        <v>435</v>
      </c>
      <c r="B50" s="90"/>
      <c r="C50" s="90"/>
      <c r="D50" s="90"/>
      <c r="E50" s="90"/>
    </row>
  </sheetData>
  <mergeCells count="6">
    <mergeCell ref="A1:E1"/>
    <mergeCell ref="A2:E2"/>
    <mergeCell ref="A6:E6"/>
    <mergeCell ref="A15:E15"/>
    <mergeCell ref="A49:E49"/>
    <mergeCell ref="A5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⚙️ Supuestos y Tipo Cambio</vt:lpstr>
      <vt:lpstr>🎓 Flujo del Estudiante</vt:lpstr>
      <vt:lpstr>📊 Economía Unitaria USD+CLP</vt:lpstr>
      <vt:lpstr>🏗️ Infraestructura por Etapa</vt:lpstr>
      <vt:lpstr>📅 Plan Mensual Inversión</vt:lpstr>
      <vt:lpstr>🏫 Modelo B2B Colegios</vt:lpstr>
      <vt:lpstr>💼 Resumen Inversores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Vocari — Modelo de Costos de Infraestructura v2</dc:title>
  <dc:subject>Costos SaaS en USD y CLP — Flujo completo con Google Meet</dc:subject>
  <dc:creator>Vocari / OrientaIA</dc:creator>
  <cp:lastModifiedBy>Vocari / OrientaIA</cp:lastModifiedBy>
  <dcterms:created xsi:type="dcterms:W3CDTF">2026-03-08T04:21:31Z</dcterms:created>
  <dcterms:modified xsi:type="dcterms:W3CDTF">2026-03-08T04:21:31Z</dcterms:modified>
</cp:coreProperties>
</file>